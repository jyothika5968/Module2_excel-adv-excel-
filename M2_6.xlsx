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4-1 Training\"/>
    </mc:Choice>
  </mc:AlternateContent>
  <xr:revisionPtr revIDLastSave="0" documentId="14_{6119902D-9E93-45D4-8CC0-12CC441CC185}" xr6:coauthVersionLast="47" xr6:coauthVersionMax="47" xr10:uidLastSave="{00000000-0000-0000-0000-000000000000}"/>
  <bookViews>
    <workbookView xWindow="-120" yWindow="-120" windowWidth="29040" windowHeight="15720" activeTab="1" xr2:uid="{52D55A13-6A52-4FFC-B89C-695109F16810}"/>
  </bookViews>
  <sheets>
    <sheet name="Sheet1" sheetId="1" r:id="rId1"/>
    <sheet name="Sheet4" sheetId="5" r:id="rId2"/>
    <sheet name="Sheet8" sheetId="10" r:id="rId3"/>
    <sheet name="Sheet7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W6" i="1"/>
  <c r="T7" i="1" s="1"/>
  <c r="AA34" i="1" a="1"/>
  <c r="AA34" i="1" s="1"/>
  <c r="B37" i="1"/>
  <c r="M18" i="1"/>
  <c r="M26" i="1"/>
  <c r="M10" i="1"/>
  <c r="M33" i="1"/>
  <c r="M13" i="1"/>
  <c r="M29" i="1"/>
  <c r="M8" i="1"/>
  <c r="M23" i="1"/>
  <c r="M16" i="1"/>
  <c r="M6" i="1"/>
  <c r="M25" i="1"/>
  <c r="M30" i="1"/>
  <c r="M12" i="1"/>
  <c r="M20" i="1"/>
  <c r="M2" i="1"/>
  <c r="M22" i="1"/>
  <c r="M17" i="1"/>
  <c r="M11" i="1"/>
  <c r="M28" i="1"/>
  <c r="M15" i="1"/>
  <c r="M24" i="1"/>
  <c r="M9" i="1"/>
  <c r="M31" i="1"/>
  <c r="M14" i="1"/>
  <c r="M21" i="1"/>
  <c r="M5" i="1"/>
  <c r="M27" i="1"/>
  <c r="M19" i="1"/>
  <c r="M7" i="1"/>
  <c r="M32" i="1"/>
  <c r="B35" i="1"/>
  <c r="F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<sst xmlns="http://schemas.openxmlformats.org/spreadsheetml/2006/main" count="1783" uniqueCount="203">
  <si>
    <t>Surname</t>
  </si>
  <si>
    <t>CreditScore</t>
  </si>
  <si>
    <t>Geography</t>
  </si>
  <si>
    <t>Age</t>
  </si>
  <si>
    <t>Tenure</t>
  </si>
  <si>
    <t>Balance</t>
  </si>
  <si>
    <t>EstimatedSalary</t>
  </si>
  <si>
    <t>IsActive</t>
  </si>
  <si>
    <t>Gender</t>
  </si>
  <si>
    <t>Sharma</t>
  </si>
  <si>
    <t>India</t>
  </si>
  <si>
    <t>F</t>
  </si>
  <si>
    <t>Reddy</t>
  </si>
  <si>
    <t>Germany</t>
  </si>
  <si>
    <t>Kumar</t>
  </si>
  <si>
    <t>France</t>
  </si>
  <si>
    <t>M</t>
  </si>
  <si>
    <t>Patel</t>
  </si>
  <si>
    <t>Spain</t>
  </si>
  <si>
    <t>Singh</t>
  </si>
  <si>
    <t>Rao</t>
  </si>
  <si>
    <t>Gupta</t>
  </si>
  <si>
    <t>Mehta</t>
  </si>
  <si>
    <t>Nair</t>
  </si>
  <si>
    <t>Das</t>
  </si>
  <si>
    <t>Verma</t>
  </si>
  <si>
    <t>Iyer</t>
  </si>
  <si>
    <t>Yadav</t>
  </si>
  <si>
    <t>Khan</t>
  </si>
  <si>
    <t>Mishra</t>
  </si>
  <si>
    <t>Chatterjee</t>
  </si>
  <si>
    <t>Pillai</t>
  </si>
  <si>
    <t>Joshi</t>
  </si>
  <si>
    <t>Bansal</t>
  </si>
  <si>
    <t>Shetty</t>
  </si>
  <si>
    <t>Kulkarni</t>
  </si>
  <si>
    <t>Saxena</t>
  </si>
  <si>
    <t>Tiwari</t>
  </si>
  <si>
    <t>Agrawal</t>
  </si>
  <si>
    <t>Menon</t>
  </si>
  <si>
    <t>Bhatt</t>
  </si>
  <si>
    <t>Sinha</t>
  </si>
  <si>
    <t>Jain</t>
  </si>
  <si>
    <t>Purohit</t>
  </si>
  <si>
    <t>Dubey</t>
  </si>
  <si>
    <t>AB</t>
  </si>
  <si>
    <t>5-15 CHANDRAMAKULAPALLE PUNGANUR CHITTOOR 517247</t>
  </si>
  <si>
    <t>MADANAPALLE</t>
  </si>
  <si>
    <t>ANNAMAYYA</t>
  </si>
  <si>
    <t>Column2</t>
  </si>
  <si>
    <t>TEXT TO CLUMN</t>
  </si>
  <si>
    <t>ADDRESS(WRAP TEXT)</t>
  </si>
  <si>
    <t>ERROR CHECKING</t>
  </si>
  <si>
    <t>STUDENT</t>
  </si>
  <si>
    <t>A</t>
  </si>
  <si>
    <t>B</t>
  </si>
  <si>
    <t>C</t>
  </si>
  <si>
    <t>D</t>
  </si>
  <si>
    <t>E0</t>
  </si>
  <si>
    <t>I YEAR</t>
  </si>
  <si>
    <t>II YEAR</t>
  </si>
  <si>
    <t>III YEAR</t>
  </si>
  <si>
    <t>CAP</t>
  </si>
  <si>
    <t>Date</t>
  </si>
  <si>
    <t>Voucher Type</t>
  </si>
  <si>
    <t>Voucher No</t>
  </si>
  <si>
    <t>State</t>
  </si>
  <si>
    <t>Courses</t>
  </si>
  <si>
    <t>Quantity</t>
  </si>
  <si>
    <t>Sales</t>
  </si>
  <si>
    <t>SV001</t>
  </si>
  <si>
    <t>Andhra Pradesh</t>
  </si>
  <si>
    <t>Data Analytics</t>
  </si>
  <si>
    <t>Purchase</t>
  </si>
  <si>
    <t>PV002</t>
  </si>
  <si>
    <t>Karnataka</t>
  </si>
  <si>
    <t>Python Programming</t>
  </si>
  <si>
    <t>SV003</t>
  </si>
  <si>
    <t>Telangana</t>
  </si>
  <si>
    <t>Web Development</t>
  </si>
  <si>
    <t>Journal</t>
  </si>
  <si>
    <t>JV004</t>
  </si>
  <si>
    <t>Tamil Nadu</t>
  </si>
  <si>
    <t>Digital Marketing</t>
  </si>
  <si>
    <t>SV005</t>
  </si>
  <si>
    <t>Maharashtra</t>
  </si>
  <si>
    <t>Machine Learning</t>
  </si>
  <si>
    <t>JV003</t>
  </si>
  <si>
    <t>SV004</t>
  </si>
  <si>
    <t>PV005</t>
  </si>
  <si>
    <t>SV006</t>
  </si>
  <si>
    <t>Kerala</t>
  </si>
  <si>
    <t>Cloud Computing</t>
  </si>
  <si>
    <t>JV007</t>
  </si>
  <si>
    <t>Gujarat</t>
  </si>
  <si>
    <t>Cyber Security</t>
  </si>
  <si>
    <t>SV008</t>
  </si>
  <si>
    <t>Rajasthan</t>
  </si>
  <si>
    <t>Artificial Intelligence</t>
  </si>
  <si>
    <t>PV009</t>
  </si>
  <si>
    <t>West Bengal</t>
  </si>
  <si>
    <t>Power BI</t>
  </si>
  <si>
    <t>JV010</t>
  </si>
  <si>
    <t>Odisha</t>
  </si>
  <si>
    <t>Excel Advanced</t>
  </si>
  <si>
    <t>SV011</t>
  </si>
  <si>
    <t>PV012</t>
  </si>
  <si>
    <t>JV013</t>
  </si>
  <si>
    <t>SV014</t>
  </si>
  <si>
    <t>PV015</t>
  </si>
  <si>
    <t>SV016</t>
  </si>
  <si>
    <t>JV017</t>
  </si>
  <si>
    <t>SV018</t>
  </si>
  <si>
    <t>PV019</t>
  </si>
  <si>
    <t>JV020</t>
  </si>
  <si>
    <t>SV021</t>
  </si>
  <si>
    <t>PV022</t>
  </si>
  <si>
    <t>JV023</t>
  </si>
  <si>
    <t>SV024</t>
  </si>
  <si>
    <t>PV025</t>
  </si>
  <si>
    <t>SV026</t>
  </si>
  <si>
    <t>JV027</t>
  </si>
  <si>
    <t>SV028</t>
  </si>
  <si>
    <t>PV029</t>
  </si>
  <si>
    <t>JV030</t>
  </si>
  <si>
    <t>SV031</t>
  </si>
  <si>
    <t>PV032</t>
  </si>
  <si>
    <t>JV033</t>
  </si>
  <si>
    <t>SV034</t>
  </si>
  <si>
    <t>PV035</t>
  </si>
  <si>
    <t>SV036</t>
  </si>
  <si>
    <t>JV037</t>
  </si>
  <si>
    <t>SV038</t>
  </si>
  <si>
    <t>PV039</t>
  </si>
  <si>
    <t>JV040</t>
  </si>
  <si>
    <t>SV041</t>
  </si>
  <si>
    <t>PV042</t>
  </si>
  <si>
    <t>JV043</t>
  </si>
  <si>
    <t>SV044</t>
  </si>
  <si>
    <t>PV045</t>
  </si>
  <si>
    <t>SV046</t>
  </si>
  <si>
    <t>JV047</t>
  </si>
  <si>
    <t>SV048</t>
  </si>
  <si>
    <t>PV049</t>
  </si>
  <si>
    <t>JV050</t>
  </si>
  <si>
    <t>SV051</t>
  </si>
  <si>
    <t>PV052</t>
  </si>
  <si>
    <t>JV053</t>
  </si>
  <si>
    <t>SV054</t>
  </si>
  <si>
    <t>PV055</t>
  </si>
  <si>
    <t>SV056</t>
  </si>
  <si>
    <t>JV057</t>
  </si>
  <si>
    <t>SV058</t>
  </si>
  <si>
    <t>PV059</t>
  </si>
  <si>
    <t>JV060</t>
  </si>
  <si>
    <t>SV061</t>
  </si>
  <si>
    <t>PV062</t>
  </si>
  <si>
    <t>JV063</t>
  </si>
  <si>
    <t>SV064</t>
  </si>
  <si>
    <t>PV065</t>
  </si>
  <si>
    <t>SV066</t>
  </si>
  <si>
    <t>JV067</t>
  </si>
  <si>
    <t>SV068</t>
  </si>
  <si>
    <t>PV069</t>
  </si>
  <si>
    <t>JV070</t>
  </si>
  <si>
    <t>SV071</t>
  </si>
  <si>
    <t>PV072</t>
  </si>
  <si>
    <t>JV073</t>
  </si>
  <si>
    <t>SV074</t>
  </si>
  <si>
    <t>PV075</t>
  </si>
  <si>
    <t>SV076</t>
  </si>
  <si>
    <t>JV077</t>
  </si>
  <si>
    <t>SV078</t>
  </si>
  <si>
    <t>PV079</t>
  </si>
  <si>
    <t>JV080</t>
  </si>
  <si>
    <t>SV081</t>
  </si>
  <si>
    <t>PV082</t>
  </si>
  <si>
    <t>JV083</t>
  </si>
  <si>
    <t>SV084</t>
  </si>
  <si>
    <t>PV085</t>
  </si>
  <si>
    <t>SV086</t>
  </si>
  <si>
    <t>JV087</t>
  </si>
  <si>
    <t>SV088</t>
  </si>
  <si>
    <t>PV089</t>
  </si>
  <si>
    <t>JV090</t>
  </si>
  <si>
    <t>SV091</t>
  </si>
  <si>
    <t>PV092</t>
  </si>
  <si>
    <t>JV093</t>
  </si>
  <si>
    <t>SV094</t>
  </si>
  <si>
    <t>PV095</t>
  </si>
  <si>
    <t>SV096</t>
  </si>
  <si>
    <t>JV097</t>
  </si>
  <si>
    <t>SV098</t>
  </si>
  <si>
    <t>PV099</t>
  </si>
  <si>
    <t>JV100</t>
  </si>
  <si>
    <t>COURSES</t>
  </si>
  <si>
    <t>avg</t>
  </si>
  <si>
    <t>Branch : Banglore</t>
  </si>
  <si>
    <t>Pin:57247</t>
  </si>
  <si>
    <t>Branch</t>
  </si>
  <si>
    <t>Pin Code</t>
  </si>
  <si>
    <t>Branch-AP</t>
  </si>
  <si>
    <t>Pin-413710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</si>
</sst>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wrapText="1"/>
    </xf>
    <xf numFmtId="14" fontId="0" fillId="0" borderId="0" xfId="0" applyNumberFormat="1"/>
    <xf numFmtId="0" fontId="1" fillId="3" borderId="5" xfId="0" applyFont="1" applyFill="1" applyBorder="1" applyAlignment="1">
      <alignment horizontal="center" vertical="center" wrapText="1"/>
    </xf>
    <xf numFmtId="14" fontId="0" fillId="4" borderId="5" xfId="0" applyNumberForma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1" fillId="3" borderId="5" xfId="0" applyFont="1" applyFill="1" applyBorder="1"/>
    <xf numFmtId="0" fontId="0" fillId="4" borderId="5" xfId="0" applyFill="1" applyBorder="1"/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/>
    <xf numFmtId="14" fontId="0" fillId="0" borderId="5" xfId="0" applyNumberFormat="1" applyBorder="1"/>
    <xf numFmtId="0" fontId="0" fillId="0" borderId="5" xfId="0" applyBorder="1"/>
    <xf numFmtId="0" fontId="0" fillId="5" borderId="5" xfId="0" applyFill="1" applyBorder="1"/>
    <xf numFmtId="14" fontId="0" fillId="5" borderId="5" xfId="0" applyNumberFormat="1" applyFill="1" applyBorder="1"/>
    <xf numFmtId="0" fontId="3" fillId="2" borderId="5" xfId="0" applyFont="1" applyFill="1" applyBorder="1" applyAlignment="1">
      <alignment horizontal="center" vertical="top"/>
    </xf>
    <xf numFmtId="0" fontId="0" fillId="5" borderId="5" xfId="0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/>
    <xf numFmtId="14" fontId="0" fillId="7" borderId="5" xfId="0" applyNumberFormat="1" applyFill="1" applyBorder="1"/>
    <xf numFmtId="0" fontId="0" fillId="7" borderId="5" xfId="0" applyFill="1" applyBorder="1"/>
    <xf numFmtId="14" fontId="0" fillId="5" borderId="2" xfId="0" applyNumberFormat="1" applyFill="1" applyBorder="1"/>
    <xf numFmtId="0" fontId="0" fillId="5" borderId="2" xfId="0" applyFill="1" applyBorder="1"/>
    <xf numFmtId="0" fontId="0" fillId="5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/>
  </cellXfs>
  <cellStyles count="1">
    <cellStyle name="Normal" xfId="0" builtinId="0"/>
  </cellStyles>
  <dxfs count="18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0.7999511703848384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76200</xdr:colOff>
      <xdr:row>21</xdr:row>
      <xdr:rowOff>19050</xdr:rowOff>
    </xdr:from>
    <xdr:to>
      <xdr:col>26</xdr:col>
      <xdr:colOff>95250</xdr:colOff>
      <xdr:row>28</xdr:row>
      <xdr:rowOff>19050</xdr:rowOff>
    </xdr:to>
    <xdr:sp macro="[0]!large_macro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2126A94-30E3-3A25-AFA7-63D451F166A4}"/>
            </a:ext>
          </a:extLst>
        </xdr:cNvPr>
        <xdr:cNvSpPr/>
      </xdr:nvSpPr>
      <xdr:spPr>
        <a:xfrm>
          <a:off x="20440650" y="3448050"/>
          <a:ext cx="1847850" cy="16002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chemeClr val="accent6"/>
              </a:solidFill>
            </a:rPr>
            <a:t>GET</a:t>
          </a:r>
          <a:r>
            <a:rPr lang="en-IN" sz="2000" baseline="0">
              <a:solidFill>
                <a:schemeClr val="accent6"/>
              </a:solidFill>
            </a:rPr>
            <a:t> REPORT</a:t>
          </a:r>
          <a:endParaRPr lang="en-IN" sz="1100">
            <a:solidFill>
              <a:schemeClr val="accent6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0</xdr:row>
      <xdr:rowOff>95250</xdr:rowOff>
    </xdr:from>
    <xdr:to>
      <xdr:col>16</xdr:col>
      <xdr:colOff>228600</xdr:colOff>
      <xdr:row>3</xdr:row>
      <xdr:rowOff>114300</xdr:rowOff>
    </xdr:to>
    <xdr:sp macro="[0]!large_macro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AA8AF78-A58C-2995-B019-2E478AC42F47}"/>
            </a:ext>
          </a:extLst>
        </xdr:cNvPr>
        <xdr:cNvSpPr/>
      </xdr:nvSpPr>
      <xdr:spPr>
        <a:xfrm>
          <a:off x="8562975" y="95250"/>
          <a:ext cx="1419225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GET</a:t>
          </a:r>
          <a:r>
            <a:rPr lang="en-IN" sz="1100" baseline="0"/>
            <a:t> REPORT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0</xdr:row>
      <xdr:rowOff>161925</xdr:rowOff>
    </xdr:from>
    <xdr:to>
      <xdr:col>12</xdr:col>
      <xdr:colOff>219075</xdr:colOff>
      <xdr:row>5</xdr:row>
      <xdr:rowOff>180975</xdr:rowOff>
    </xdr:to>
    <xdr:sp macro="[0]!large_macro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9698C8D-2100-2838-52EE-DDE077BCC1E7}"/>
            </a:ext>
          </a:extLst>
        </xdr:cNvPr>
        <xdr:cNvSpPr/>
      </xdr:nvSpPr>
      <xdr:spPr>
        <a:xfrm>
          <a:off x="6315075" y="161925"/>
          <a:ext cx="1219200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GET</a:t>
          </a:r>
          <a:r>
            <a:rPr lang="en-IN" sz="1100" baseline="0"/>
            <a:t> REPORT</a:t>
          </a:r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841C5-623D-4FBB-B4AB-9E0A786EC2E8}" name="Table1" displayName="Table1" ref="A1:M33" totalsRowShown="0" headerRowDxfId="17" dataDxfId="15" headerRowBorderDxfId="16" tableBorderDxfId="14" totalsRowBorderDxfId="13">
  <autoFilter ref="A1:M33" xr:uid="{F83841C5-623D-4FBB-B4AB-9E0A786EC2E8}"/>
  <sortState xmlns:xlrd2="http://schemas.microsoft.com/office/spreadsheetml/2017/richdata2" ref="A2:M33">
    <sortCondition ref="D1:D33"/>
  </sortState>
  <tableColumns count="13">
    <tableColumn id="1" xr3:uid="{656C9D91-C6E8-4586-A9F9-9659D6B08632}" name="Surname" dataDxfId="12"/>
    <tableColumn id="2" xr3:uid="{ACC94A28-2D0A-49FD-817C-A73FF9A8B139}" name="CreditScore" dataDxfId="11"/>
    <tableColumn id="3" xr3:uid="{EE7B8DCD-FDE1-4310-A065-79D2E369A347}" name="Geography" dataDxfId="10"/>
    <tableColumn id="4" xr3:uid="{0FF01F47-F4AA-47F0-925E-11C4798E7BCF}" name="Age" dataDxfId="9"/>
    <tableColumn id="5" xr3:uid="{89F45C4A-9D87-4E22-91F5-BA03F4E24365}" name="Tenure" dataDxfId="8"/>
    <tableColumn id="6" xr3:uid="{C4CC3AAA-3A7B-43DD-A4AE-1813A521B888}" name="Balance" dataDxfId="7"/>
    <tableColumn id="7" xr3:uid="{915F756D-1851-4D71-A039-81AA1E186223}" name="EstimatedSalary" dataDxfId="6"/>
    <tableColumn id="8" xr3:uid="{11EE4F9B-2CFC-46C2-A6D9-D410689EADCE}" name="IsActive" dataDxfId="5"/>
    <tableColumn id="9" xr3:uid="{67F7139B-2F52-4D2A-8792-923E8C70BF65}" name="Gender" dataDxfId="4"/>
    <tableColumn id="10" xr3:uid="{28A50BDB-8AB1-4CB1-8CFB-6925AC66A099}" name="ADDRESS(WRAP TEXT)" dataDxfId="3"/>
    <tableColumn id="11" xr3:uid="{FCFC170C-6421-4628-B254-FDDD72CF2BA1}" name="TEXT TO CLUMN" dataDxfId="2"/>
    <tableColumn id="12" xr3:uid="{A8866288-0DCB-4A38-871C-0BF6EDE9515F}" name="Column2" dataDxfId="1"/>
    <tableColumn id="13" xr3:uid="{F21F1147-8EA4-4A64-8C1C-4F9D420835F1}" name="ERROR CHECKING" dataDxfId="0">
      <calculatedColumnFormula>AVERAGE(Table1[[#This Row],[Surname]])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FC87-C417-46C6-B736-A76C228F3159}">
  <sheetPr codeName="Sheet1"/>
  <dimension ref="A1:AP103"/>
  <sheetViews>
    <sheetView topLeftCell="W1" workbookViewId="0">
      <selection activeCell="O8" sqref="O8"/>
    </sheetView>
  </sheetViews>
  <sheetFormatPr defaultRowHeight="15" x14ac:dyDescent="0.25"/>
  <cols>
    <col min="1" max="3" width="17" customWidth="1"/>
    <col min="4" max="4" width="11.85546875" customWidth="1"/>
    <col min="5" max="5" width="13.28515625" customWidth="1"/>
    <col min="6" max="6" width="13.7109375" customWidth="1"/>
    <col min="7" max="7" width="17" customWidth="1"/>
    <col min="8" max="8" width="12.28515625" customWidth="1"/>
    <col min="9" max="9" width="11.7109375" style="10" customWidth="1"/>
    <col min="10" max="10" width="24.7109375" customWidth="1"/>
    <col min="11" max="11" width="22.5703125" customWidth="1"/>
    <col min="12" max="12" width="14.42578125" customWidth="1"/>
    <col min="13" max="13" width="23.85546875" customWidth="1"/>
    <col min="18" max="22" width="10.42578125" customWidth="1"/>
    <col min="23" max="23" width="16.140625" customWidth="1"/>
    <col min="24" max="24" width="12.140625" customWidth="1"/>
    <col min="25" max="25" width="13" customWidth="1"/>
    <col min="26" max="26" width="12.42578125" customWidth="1"/>
    <col min="27" max="27" width="13.28515625" customWidth="1"/>
    <col min="28" max="28" width="16.42578125" customWidth="1"/>
    <col min="34" max="37" width="16.85546875" customWidth="1"/>
    <col min="38" max="38" width="20.28515625" customWidth="1"/>
    <col min="39" max="39" width="16.85546875" customWidth="1"/>
  </cols>
  <sheetData>
    <row r="1" spans="1:42" ht="19.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1" t="s">
        <v>6</v>
      </c>
      <c r="H1" s="2" t="s">
        <v>7</v>
      </c>
      <c r="I1" s="3" t="s">
        <v>8</v>
      </c>
      <c r="J1" s="2" t="s">
        <v>51</v>
      </c>
      <c r="K1" s="2" t="s">
        <v>50</v>
      </c>
      <c r="L1" s="2" t="s">
        <v>49</v>
      </c>
      <c r="M1" s="2" t="s">
        <v>52</v>
      </c>
      <c r="AH1" s="36" t="s">
        <v>63</v>
      </c>
      <c r="AI1" s="37" t="s">
        <v>64</v>
      </c>
      <c r="AJ1" s="37" t="s">
        <v>65</v>
      </c>
      <c r="AK1" s="37" t="s">
        <v>66</v>
      </c>
      <c r="AL1" s="37" t="s">
        <v>67</v>
      </c>
      <c r="AM1" s="37" t="s">
        <v>68</v>
      </c>
    </row>
    <row r="2" spans="1:42" ht="18" customHeight="1" x14ac:dyDescent="0.25">
      <c r="A2" s="26" t="s">
        <v>29</v>
      </c>
      <c r="B2" s="26">
        <v>570</v>
      </c>
      <c r="C2" s="26" t="s">
        <v>15</v>
      </c>
      <c r="D2" s="26">
        <v>25</v>
      </c>
      <c r="E2" s="26">
        <v>1</v>
      </c>
      <c r="F2" s="26">
        <v>15000</v>
      </c>
      <c r="G2" s="4">
        <v>30000</v>
      </c>
      <c r="H2" s="5">
        <v>0</v>
      </c>
      <c r="I2" s="8" t="s">
        <v>11</v>
      </c>
      <c r="J2" s="11"/>
      <c r="K2" s="11"/>
      <c r="L2" s="11"/>
      <c r="M2" s="11" t="e">
        <f>AVERAGE(Table1[[#This Row],[Surname]])</f>
        <v>#DIV/0!</v>
      </c>
      <c r="AH2" s="21">
        <v>46023</v>
      </c>
      <c r="AI2" s="22" t="s">
        <v>69</v>
      </c>
      <c r="AJ2" s="22" t="s">
        <v>70</v>
      </c>
      <c r="AK2" s="22" t="s">
        <v>71</v>
      </c>
      <c r="AL2" s="22" t="s">
        <v>72</v>
      </c>
      <c r="AM2" s="22">
        <v>15</v>
      </c>
      <c r="AP2" t="s">
        <v>195</v>
      </c>
    </row>
    <row r="3" spans="1:42" ht="18" customHeight="1" x14ac:dyDescent="0.25">
      <c r="A3" s="33"/>
      <c r="B3" s="34"/>
      <c r="C3" s="34"/>
      <c r="D3" s="34"/>
      <c r="E3" s="34"/>
      <c r="F3" s="35"/>
      <c r="G3" s="4"/>
      <c r="H3" s="5"/>
      <c r="I3" s="8"/>
      <c r="J3" s="5"/>
      <c r="K3" s="5"/>
      <c r="L3" s="5"/>
      <c r="M3" s="5" t="e">
        <f>AVERAGE(Table1[[#This Row],[Surname]])</f>
        <v>#DIV/0!</v>
      </c>
      <c r="AH3" s="21"/>
      <c r="AI3" s="22" t="s">
        <v>199</v>
      </c>
      <c r="AJ3" s="22"/>
      <c r="AK3" s="22"/>
      <c r="AL3" s="22"/>
      <c r="AM3" s="22"/>
    </row>
    <row r="4" spans="1:42" ht="18" customHeight="1" x14ac:dyDescent="0.25">
      <c r="A4" s="33"/>
      <c r="B4" s="34"/>
      <c r="C4" s="34"/>
      <c r="D4" s="34"/>
      <c r="E4" s="34"/>
      <c r="F4" s="35"/>
      <c r="G4" s="4"/>
      <c r="H4" s="5"/>
      <c r="I4" s="8"/>
      <c r="J4" s="5"/>
      <c r="K4" s="5"/>
      <c r="L4" s="5"/>
      <c r="M4" s="5" t="e">
        <f>AVERAGE(Table1[[#This Row],[Surname]])</f>
        <v>#DIV/0!</v>
      </c>
      <c r="AH4" s="21"/>
      <c r="AI4" s="22" t="s">
        <v>200</v>
      </c>
      <c r="AJ4" s="22"/>
      <c r="AK4" s="22"/>
      <c r="AL4" s="22"/>
      <c r="AM4" s="22"/>
    </row>
    <row r="5" spans="1:42" ht="19.5" customHeight="1" x14ac:dyDescent="0.25">
      <c r="A5" s="26" t="s">
        <v>40</v>
      </c>
      <c r="B5" s="26">
        <v>590</v>
      </c>
      <c r="C5" s="26" t="s">
        <v>13</v>
      </c>
      <c r="D5" s="26">
        <v>26</v>
      </c>
      <c r="E5" s="26">
        <v>2</v>
      </c>
      <c r="F5" s="26">
        <v>20000</v>
      </c>
      <c r="G5" s="4">
        <v>35000</v>
      </c>
      <c r="H5" s="5">
        <v>0</v>
      </c>
      <c r="I5" s="8" t="s">
        <v>16</v>
      </c>
      <c r="J5" s="5"/>
      <c r="K5" s="5"/>
      <c r="L5" s="5"/>
      <c r="M5" s="5" t="e">
        <f>AVERAGE(Table1[[#This Row],[Surname]])</f>
        <v>#DIV/0!</v>
      </c>
      <c r="R5" t="s">
        <v>53</v>
      </c>
      <c r="S5" t="s">
        <v>59</v>
      </c>
      <c r="T5" t="s">
        <v>60</v>
      </c>
      <c r="U5" t="s">
        <v>61</v>
      </c>
      <c r="V5" t="s">
        <v>62</v>
      </c>
      <c r="W5" t="s">
        <v>196</v>
      </c>
      <c r="X5" s="14" t="s">
        <v>63</v>
      </c>
      <c r="Y5" s="14" t="s">
        <v>64</v>
      </c>
      <c r="Z5" s="14" t="s">
        <v>65</v>
      </c>
      <c r="AA5" s="14" t="s">
        <v>66</v>
      </c>
      <c r="AB5" s="14" t="s">
        <v>67</v>
      </c>
      <c r="AC5" s="14" t="s">
        <v>68</v>
      </c>
      <c r="AH5" s="21">
        <v>46024</v>
      </c>
      <c r="AI5" s="22" t="s">
        <v>73</v>
      </c>
      <c r="AJ5" s="22" t="s">
        <v>74</v>
      </c>
      <c r="AK5" s="22" t="s">
        <v>75</v>
      </c>
      <c r="AL5" s="22" t="s">
        <v>76</v>
      </c>
      <c r="AM5" s="22">
        <v>10</v>
      </c>
    </row>
    <row r="6" spans="1:42" ht="28.5" customHeight="1" x14ac:dyDescent="0.25">
      <c r="A6" s="26" t="s">
        <v>24</v>
      </c>
      <c r="B6" s="26">
        <v>590</v>
      </c>
      <c r="C6" s="26" t="s">
        <v>13</v>
      </c>
      <c r="D6" s="26">
        <v>27</v>
      </c>
      <c r="E6" s="26">
        <v>2</v>
      </c>
      <c r="F6" s="26">
        <v>25000</v>
      </c>
      <c r="G6" s="4">
        <v>40000</v>
      </c>
      <c r="H6" s="5">
        <v>0</v>
      </c>
      <c r="I6" s="8" t="s">
        <v>16</v>
      </c>
      <c r="J6" s="5"/>
      <c r="K6" s="5"/>
      <c r="L6" s="5"/>
      <c r="M6" s="5" t="e">
        <f>AVERAGE(Table1[[#This Row],[Surname]])</f>
        <v>#DIV/0!</v>
      </c>
      <c r="R6" t="s">
        <v>54</v>
      </c>
      <c r="S6">
        <v>52</v>
      </c>
      <c r="T6">
        <v>85</v>
      </c>
      <c r="U6">
        <v>74</v>
      </c>
      <c r="W6">
        <f>AVERAGE(S6:V6)</f>
        <v>70.333333333333329</v>
      </c>
      <c r="X6" s="15">
        <v>46174</v>
      </c>
      <c r="Y6" s="16" t="s">
        <v>69</v>
      </c>
      <c r="Z6" s="16" t="s">
        <v>70</v>
      </c>
      <c r="AA6" s="16" t="s">
        <v>71</v>
      </c>
      <c r="AB6" s="16" t="s">
        <v>72</v>
      </c>
      <c r="AC6" s="16">
        <v>15</v>
      </c>
      <c r="AH6" s="21">
        <v>46025</v>
      </c>
      <c r="AI6" s="22" t="s">
        <v>80</v>
      </c>
      <c r="AJ6" s="22" t="s">
        <v>87</v>
      </c>
      <c r="AK6" s="22" t="s">
        <v>78</v>
      </c>
      <c r="AL6" s="22" t="s">
        <v>79</v>
      </c>
      <c r="AM6" s="22">
        <v>20</v>
      </c>
    </row>
    <row r="7" spans="1:42" ht="43.5" customHeight="1" x14ac:dyDescent="0.25">
      <c r="A7" s="26" t="s">
        <v>43</v>
      </c>
      <c r="B7" s="26">
        <v>560</v>
      </c>
      <c r="C7" s="26" t="s">
        <v>10</v>
      </c>
      <c r="D7" s="26">
        <v>27</v>
      </c>
      <c r="E7" s="26">
        <v>1</v>
      </c>
      <c r="F7" s="26">
        <v>18000</v>
      </c>
      <c r="G7" s="4">
        <v>30000</v>
      </c>
      <c r="H7" s="5">
        <v>0</v>
      </c>
      <c r="I7" s="8" t="s">
        <v>16</v>
      </c>
      <c r="J7" s="5"/>
      <c r="K7" s="5"/>
      <c r="L7" s="5"/>
      <c r="M7" s="5" t="e">
        <f>AVERAGE(Table1[[#This Row],[Surname]])</f>
        <v>#DIV/0!</v>
      </c>
      <c r="R7" t="s">
        <v>55</v>
      </c>
      <c r="T7">
        <f>W6</f>
        <v>70.333333333333329</v>
      </c>
      <c r="X7" s="15">
        <v>46175</v>
      </c>
      <c r="Y7" s="16" t="s">
        <v>73</v>
      </c>
      <c r="Z7" s="16" t="s">
        <v>74</v>
      </c>
      <c r="AA7" s="16" t="s">
        <v>75</v>
      </c>
      <c r="AB7" s="16" t="s">
        <v>76</v>
      </c>
      <c r="AC7" s="16">
        <v>10</v>
      </c>
      <c r="AH7" s="21">
        <v>46026</v>
      </c>
      <c r="AI7" s="22" t="s">
        <v>69</v>
      </c>
      <c r="AJ7" s="22" t="s">
        <v>88</v>
      </c>
      <c r="AK7" s="22" t="s">
        <v>82</v>
      </c>
      <c r="AL7" s="22" t="s">
        <v>83</v>
      </c>
      <c r="AM7" s="22">
        <v>12</v>
      </c>
    </row>
    <row r="8" spans="1:42" ht="33" customHeight="1" x14ac:dyDescent="0.25">
      <c r="A8" s="26" t="s">
        <v>21</v>
      </c>
      <c r="B8" s="26">
        <v>560</v>
      </c>
      <c r="C8" s="26" t="s">
        <v>15</v>
      </c>
      <c r="D8" s="26">
        <v>28</v>
      </c>
      <c r="E8" s="26">
        <v>2</v>
      </c>
      <c r="F8" s="26">
        <v>20000</v>
      </c>
      <c r="G8" s="4">
        <v>35000</v>
      </c>
      <c r="H8" s="5">
        <v>0</v>
      </c>
      <c r="I8" s="8" t="s">
        <v>16</v>
      </c>
      <c r="J8" s="5">
        <v>4</v>
      </c>
      <c r="K8" s="5"/>
      <c r="L8" s="5"/>
      <c r="M8" s="5" t="e">
        <f>AVERAGE(Table1[[#This Row],[Surname]])</f>
        <v>#DIV/0!</v>
      </c>
      <c r="R8" t="s">
        <v>56</v>
      </c>
      <c r="S8">
        <v>52</v>
      </c>
      <c r="T8">
        <f t="dataTable" ref="T8:T10" dt2D="0" dtr="0" r1="V6"/>
        <v>65.75</v>
      </c>
      <c r="X8" s="15">
        <v>46176</v>
      </c>
      <c r="Y8" s="16" t="s">
        <v>69</v>
      </c>
      <c r="Z8" s="16" t="s">
        <v>77</v>
      </c>
      <c r="AA8" s="16" t="s">
        <v>78</v>
      </c>
      <c r="AB8" s="16" t="s">
        <v>79</v>
      </c>
      <c r="AC8" s="16">
        <v>20</v>
      </c>
      <c r="AH8" s="21">
        <v>46027</v>
      </c>
      <c r="AI8" s="22" t="s">
        <v>73</v>
      </c>
      <c r="AJ8" s="22" t="s">
        <v>89</v>
      </c>
      <c r="AK8" s="22" t="s">
        <v>85</v>
      </c>
      <c r="AL8" s="22" t="s">
        <v>86</v>
      </c>
      <c r="AM8" s="22">
        <v>8</v>
      </c>
    </row>
    <row r="9" spans="1:42" ht="43.5" customHeight="1" x14ac:dyDescent="0.25">
      <c r="A9" s="26" t="s">
        <v>36</v>
      </c>
      <c r="B9" s="26">
        <v>600</v>
      </c>
      <c r="C9" s="26" t="s">
        <v>13</v>
      </c>
      <c r="D9" s="26">
        <v>28</v>
      </c>
      <c r="E9" s="26">
        <v>2</v>
      </c>
      <c r="F9" s="26">
        <v>28000</v>
      </c>
      <c r="G9" s="4">
        <v>39000</v>
      </c>
      <c r="H9" s="5">
        <v>0</v>
      </c>
      <c r="I9" s="8" t="s">
        <v>11</v>
      </c>
      <c r="J9" s="5"/>
      <c r="K9" s="5"/>
      <c r="L9" s="5"/>
      <c r="M9" s="5" t="e">
        <f>AVERAGE(Table1[[#This Row],[Surname]])</f>
        <v>#DIV/0!</v>
      </c>
      <c r="R9" t="s">
        <v>57</v>
      </c>
      <c r="S9">
        <v>65</v>
      </c>
      <c r="T9">
        <v>69</v>
      </c>
      <c r="X9" s="15">
        <v>46177</v>
      </c>
      <c r="Y9" s="16" t="s">
        <v>80</v>
      </c>
      <c r="Z9" s="16" t="s">
        <v>81</v>
      </c>
      <c r="AA9" s="16" t="s">
        <v>82</v>
      </c>
      <c r="AB9" s="16" t="s">
        <v>83</v>
      </c>
      <c r="AC9" s="16">
        <v>12</v>
      </c>
      <c r="AH9" s="21">
        <v>46028</v>
      </c>
      <c r="AI9" s="22" t="s">
        <v>69</v>
      </c>
      <c r="AJ9" s="22" t="s">
        <v>90</v>
      </c>
      <c r="AK9" s="22" t="s">
        <v>91</v>
      </c>
      <c r="AL9" s="22" t="s">
        <v>92</v>
      </c>
      <c r="AM9" s="22">
        <v>18</v>
      </c>
    </row>
    <row r="10" spans="1:42" ht="33.75" customHeight="1" x14ac:dyDescent="0.25">
      <c r="A10" s="26" t="s">
        <v>14</v>
      </c>
      <c r="B10" s="26">
        <v>580</v>
      </c>
      <c r="C10" s="26" t="s">
        <v>15</v>
      </c>
      <c r="D10" s="26">
        <v>29</v>
      </c>
      <c r="E10" s="26">
        <v>3</v>
      </c>
      <c r="F10" s="26">
        <v>30000</v>
      </c>
      <c r="G10" s="4">
        <v>45000</v>
      </c>
      <c r="H10" s="5">
        <v>0</v>
      </c>
      <c r="I10" s="8" t="s">
        <v>16</v>
      </c>
      <c r="J10" s="5">
        <v>58</v>
      </c>
      <c r="K10" s="5"/>
      <c r="L10" s="5"/>
      <c r="M10" s="5" t="e">
        <f>AVERAGE(Table1[[#This Row],[Surname]])</f>
        <v>#DIV/0!</v>
      </c>
      <c r="R10" t="s">
        <v>58</v>
      </c>
      <c r="S10">
        <v>84</v>
      </c>
      <c r="T10">
        <v>73.75</v>
      </c>
      <c r="X10" s="15">
        <v>46178</v>
      </c>
      <c r="Y10" s="16" t="s">
        <v>69</v>
      </c>
      <c r="Z10" s="16" t="s">
        <v>84</v>
      </c>
      <c r="AA10" s="16" t="s">
        <v>85</v>
      </c>
      <c r="AB10" s="16" t="s">
        <v>86</v>
      </c>
      <c r="AC10" s="16">
        <v>8</v>
      </c>
      <c r="AH10" s="21">
        <v>46029</v>
      </c>
      <c r="AI10" s="22" t="s">
        <v>80</v>
      </c>
      <c r="AJ10" s="22" t="s">
        <v>93</v>
      </c>
      <c r="AK10" s="22" t="s">
        <v>94</v>
      </c>
      <c r="AL10" s="22" t="s">
        <v>95</v>
      </c>
      <c r="AM10" s="22">
        <v>14</v>
      </c>
    </row>
    <row r="11" spans="1:42" ht="19.5" customHeight="1" x14ac:dyDescent="0.25">
      <c r="A11" s="26" t="s">
        <v>32</v>
      </c>
      <c r="B11" s="26">
        <v>580</v>
      </c>
      <c r="C11" s="26" t="s">
        <v>13</v>
      </c>
      <c r="D11" s="26">
        <v>29</v>
      </c>
      <c r="E11" s="26">
        <v>3</v>
      </c>
      <c r="F11" s="26">
        <v>32000</v>
      </c>
      <c r="G11" s="4">
        <v>42000</v>
      </c>
      <c r="H11" s="5">
        <v>0</v>
      </c>
      <c r="I11" s="8" t="s">
        <v>11</v>
      </c>
      <c r="J11" s="5"/>
      <c r="K11" s="5"/>
      <c r="L11" s="5"/>
      <c r="M11" s="5" t="e">
        <f>AVERAGE(Table1[[#This Row],[Surname]])</f>
        <v>#DIV/0!</v>
      </c>
      <c r="AH11" s="21">
        <v>46030</v>
      </c>
      <c r="AI11" s="22" t="s">
        <v>69</v>
      </c>
      <c r="AJ11" s="22" t="s">
        <v>96</v>
      </c>
      <c r="AK11" s="22" t="s">
        <v>97</v>
      </c>
      <c r="AL11" s="22" t="s">
        <v>98</v>
      </c>
      <c r="AM11" s="22">
        <v>11</v>
      </c>
    </row>
    <row r="12" spans="1:42" ht="19.5" customHeight="1" x14ac:dyDescent="0.25">
      <c r="A12" s="26" t="s">
        <v>27</v>
      </c>
      <c r="B12" s="26">
        <v>600</v>
      </c>
      <c r="C12" s="26" t="s">
        <v>10</v>
      </c>
      <c r="D12" s="26">
        <v>30</v>
      </c>
      <c r="E12" s="26">
        <v>4</v>
      </c>
      <c r="F12" s="26">
        <v>45000</v>
      </c>
      <c r="G12" s="4">
        <v>48000</v>
      </c>
      <c r="H12" s="5">
        <v>0</v>
      </c>
      <c r="I12" s="8" t="s">
        <v>16</v>
      </c>
      <c r="J12" s="5"/>
      <c r="K12" s="5"/>
      <c r="L12" s="5"/>
      <c r="M12" s="5" t="e">
        <f>AVERAGE(Table1[[#This Row],[Surname]])</f>
        <v>#DIV/0!</v>
      </c>
      <c r="AH12" s="21">
        <v>46031</v>
      </c>
      <c r="AI12" s="22" t="s">
        <v>73</v>
      </c>
      <c r="AJ12" s="22" t="s">
        <v>99</v>
      </c>
      <c r="AK12" s="22" t="s">
        <v>100</v>
      </c>
      <c r="AL12" s="22" t="s">
        <v>101</v>
      </c>
      <c r="AM12" s="22">
        <v>9</v>
      </c>
    </row>
    <row r="13" spans="1:42" ht="19.5" customHeight="1" x14ac:dyDescent="0.25">
      <c r="A13" s="26" t="s">
        <v>19</v>
      </c>
      <c r="B13" s="26">
        <v>610</v>
      </c>
      <c r="C13" s="26" t="s">
        <v>10</v>
      </c>
      <c r="D13" s="26">
        <v>31</v>
      </c>
      <c r="E13" s="26">
        <v>4</v>
      </c>
      <c r="F13" s="26">
        <v>40000</v>
      </c>
      <c r="G13" s="4">
        <v>50000</v>
      </c>
      <c r="H13" s="5">
        <v>0</v>
      </c>
      <c r="I13" s="8" t="s">
        <v>16</v>
      </c>
      <c r="J13" s="5">
        <v>6</v>
      </c>
      <c r="K13" s="5"/>
      <c r="L13" s="5"/>
      <c r="M13" s="5" t="e">
        <f>AVERAGE(Table1[[#This Row],[Surname]])</f>
        <v>#DIV/0!</v>
      </c>
      <c r="AH13" s="21">
        <v>46032</v>
      </c>
      <c r="AI13" s="22" t="s">
        <v>80</v>
      </c>
      <c r="AJ13" s="22" t="s">
        <v>102</v>
      </c>
      <c r="AK13" s="22" t="s">
        <v>103</v>
      </c>
      <c r="AL13" s="22" t="s">
        <v>104</v>
      </c>
      <c r="AM13" s="22">
        <v>16</v>
      </c>
    </row>
    <row r="14" spans="1:42" ht="19.5" customHeight="1" x14ac:dyDescent="0.25">
      <c r="A14" s="26" t="s">
        <v>38</v>
      </c>
      <c r="B14" s="26">
        <v>610</v>
      </c>
      <c r="C14" s="26" t="s">
        <v>18</v>
      </c>
      <c r="D14" s="26">
        <v>31</v>
      </c>
      <c r="E14" s="26">
        <v>4</v>
      </c>
      <c r="F14" s="26">
        <v>42000</v>
      </c>
      <c r="G14" s="4">
        <v>52000</v>
      </c>
      <c r="H14" s="5">
        <v>0</v>
      </c>
      <c r="I14" s="8" t="s">
        <v>16</v>
      </c>
      <c r="J14" s="5"/>
      <c r="K14" s="5"/>
      <c r="L14" s="5"/>
      <c r="M14" s="5" t="e">
        <f>AVERAGE(Table1[[#This Row],[Surname]])</f>
        <v>#DIV/0!</v>
      </c>
      <c r="AH14" s="21">
        <v>46033</v>
      </c>
      <c r="AI14" s="22" t="s">
        <v>69</v>
      </c>
      <c r="AJ14" s="22" t="s">
        <v>105</v>
      </c>
      <c r="AK14" s="22" t="s">
        <v>71</v>
      </c>
      <c r="AL14" s="22" t="s">
        <v>72</v>
      </c>
      <c r="AM14" s="22">
        <v>13</v>
      </c>
    </row>
    <row r="15" spans="1:42" ht="19.5" customHeight="1" x14ac:dyDescent="0.25">
      <c r="A15" s="26" t="s">
        <v>34</v>
      </c>
      <c r="B15" s="26">
        <v>630</v>
      </c>
      <c r="C15" s="26" t="s">
        <v>18</v>
      </c>
      <c r="D15" s="26">
        <v>32</v>
      </c>
      <c r="E15" s="26">
        <v>5</v>
      </c>
      <c r="F15" s="26">
        <v>55000</v>
      </c>
      <c r="G15" s="4">
        <v>60000</v>
      </c>
      <c r="H15" s="5">
        <v>1</v>
      </c>
      <c r="I15" s="8" t="s">
        <v>16</v>
      </c>
      <c r="J15" s="5"/>
      <c r="K15" s="5"/>
      <c r="L15" s="5"/>
      <c r="M15" s="5" t="e">
        <f>AVERAGE(Table1[[#This Row],[Surname]])</f>
        <v>#DIV/0!</v>
      </c>
      <c r="AH15" s="21">
        <v>46034</v>
      </c>
      <c r="AI15" s="22" t="s">
        <v>73</v>
      </c>
      <c r="AJ15" s="22" t="s">
        <v>106</v>
      </c>
      <c r="AK15" s="22" t="s">
        <v>75</v>
      </c>
      <c r="AL15" s="22" t="s">
        <v>76</v>
      </c>
      <c r="AM15" s="22">
        <v>17</v>
      </c>
    </row>
    <row r="16" spans="1:42" ht="19.5" customHeight="1" x14ac:dyDescent="0.25">
      <c r="A16" s="26" t="s">
        <v>23</v>
      </c>
      <c r="B16" s="26">
        <v>640</v>
      </c>
      <c r="C16" s="26" t="s">
        <v>10</v>
      </c>
      <c r="D16" s="26">
        <v>33</v>
      </c>
      <c r="E16" s="26">
        <v>6</v>
      </c>
      <c r="F16" s="26">
        <v>70000</v>
      </c>
      <c r="G16" s="4">
        <v>65000</v>
      </c>
      <c r="H16" s="5">
        <v>1</v>
      </c>
      <c r="I16" s="8" t="s">
        <v>11</v>
      </c>
      <c r="J16" s="5"/>
      <c r="K16" s="5"/>
      <c r="L16" s="5"/>
      <c r="M16" s="5" t="e">
        <f>AVERAGE(Table1[[#This Row],[Surname]])</f>
        <v>#DIV/0!</v>
      </c>
      <c r="AH16" s="21">
        <v>46035</v>
      </c>
      <c r="AI16" s="22" t="s">
        <v>80</v>
      </c>
      <c r="AJ16" s="22" t="s">
        <v>107</v>
      </c>
      <c r="AK16" s="22" t="s">
        <v>78</v>
      </c>
      <c r="AL16" s="22" t="s">
        <v>79</v>
      </c>
      <c r="AM16" s="22">
        <v>22</v>
      </c>
    </row>
    <row r="17" spans="1:39" ht="19.5" customHeight="1" x14ac:dyDescent="0.25">
      <c r="A17" s="26" t="s">
        <v>31</v>
      </c>
      <c r="B17" s="26">
        <v>620</v>
      </c>
      <c r="C17" s="26" t="s">
        <v>10</v>
      </c>
      <c r="D17" s="26">
        <v>34</v>
      </c>
      <c r="E17" s="26">
        <v>5</v>
      </c>
      <c r="F17" s="26">
        <v>60000</v>
      </c>
      <c r="G17" s="4">
        <v>58000</v>
      </c>
      <c r="H17" s="5">
        <v>1</v>
      </c>
      <c r="I17" s="8" t="s">
        <v>11</v>
      </c>
      <c r="J17" s="5"/>
      <c r="K17" s="5"/>
      <c r="L17" s="5"/>
      <c r="M17" s="5" t="e">
        <f>AVERAGE(Table1[[#This Row],[Surname]])</f>
        <v>#DIV/0!</v>
      </c>
      <c r="AH17" s="21">
        <v>46036</v>
      </c>
      <c r="AI17" s="22" t="s">
        <v>69</v>
      </c>
      <c r="AJ17" s="22" t="s">
        <v>108</v>
      </c>
      <c r="AK17" s="22" t="s">
        <v>82</v>
      </c>
      <c r="AL17" s="22" t="s">
        <v>83</v>
      </c>
      <c r="AM17" s="22">
        <v>7</v>
      </c>
    </row>
    <row r="18" spans="1:39" ht="19.5" customHeight="1" x14ac:dyDescent="0.25">
      <c r="A18" s="26" t="s">
        <v>9</v>
      </c>
      <c r="B18" s="26">
        <v>650</v>
      </c>
      <c r="C18" s="26" t="s">
        <v>10</v>
      </c>
      <c r="D18" s="26">
        <v>35</v>
      </c>
      <c r="E18" s="26">
        <v>5</v>
      </c>
      <c r="F18" s="26">
        <v>50000</v>
      </c>
      <c r="G18" s="4">
        <v>60000</v>
      </c>
      <c r="H18" s="5">
        <v>1</v>
      </c>
      <c r="I18" s="8" t="s">
        <v>11</v>
      </c>
      <c r="J18" s="12" t="s">
        <v>46</v>
      </c>
      <c r="K18" s="5" t="s">
        <v>47</v>
      </c>
      <c r="L18" s="5" t="s">
        <v>48</v>
      </c>
      <c r="M18" s="5" t="e">
        <f>AVERAGE(Table1[[#This Row],[Surname]])</f>
        <v>#DIV/0!</v>
      </c>
      <c r="AH18" s="21">
        <v>46037</v>
      </c>
      <c r="AI18" s="22" t="s">
        <v>73</v>
      </c>
      <c r="AJ18" s="22" t="s">
        <v>109</v>
      </c>
      <c r="AK18" s="22" t="s">
        <v>85</v>
      </c>
      <c r="AL18" s="22" t="s">
        <v>86</v>
      </c>
      <c r="AM18" s="22">
        <v>19</v>
      </c>
    </row>
    <row r="19" spans="1:39" ht="19.5" customHeight="1" x14ac:dyDescent="0.25">
      <c r="A19" s="26" t="s">
        <v>42</v>
      </c>
      <c r="B19" s="26">
        <v>640</v>
      </c>
      <c r="C19" s="26" t="s">
        <v>18</v>
      </c>
      <c r="D19" s="26">
        <v>35</v>
      </c>
      <c r="E19" s="26">
        <v>5</v>
      </c>
      <c r="F19" s="26">
        <v>75000</v>
      </c>
      <c r="G19" s="4">
        <v>64000</v>
      </c>
      <c r="H19" s="5">
        <v>1</v>
      </c>
      <c r="I19" s="8" t="s">
        <v>11</v>
      </c>
      <c r="J19" s="5"/>
      <c r="K19" s="5"/>
      <c r="L19" s="5"/>
      <c r="M19" s="5" t="e">
        <f>AVERAGE(Table1[[#This Row],[Surname]])</f>
        <v>#DIV/0!</v>
      </c>
      <c r="AH19" s="21">
        <v>46038</v>
      </c>
      <c r="AI19" s="22" t="s">
        <v>69</v>
      </c>
      <c r="AJ19" s="22" t="s">
        <v>110</v>
      </c>
      <c r="AK19" s="22" t="s">
        <v>91</v>
      </c>
      <c r="AL19" s="22" t="s">
        <v>92</v>
      </c>
      <c r="AM19" s="22">
        <v>21</v>
      </c>
    </row>
    <row r="20" spans="1:39" ht="19.5" customHeight="1" x14ac:dyDescent="0.25">
      <c r="A20" s="26" t="s">
        <v>28</v>
      </c>
      <c r="B20" s="26">
        <v>650</v>
      </c>
      <c r="C20" s="26" t="s">
        <v>13</v>
      </c>
      <c r="D20" s="26">
        <v>36</v>
      </c>
      <c r="E20" s="26">
        <v>6</v>
      </c>
      <c r="F20" s="26">
        <v>80000</v>
      </c>
      <c r="G20" s="4">
        <v>62000</v>
      </c>
      <c r="H20" s="5">
        <v>1</v>
      </c>
      <c r="I20" s="8" t="s">
        <v>11</v>
      </c>
      <c r="J20" s="5"/>
      <c r="K20" s="5"/>
      <c r="L20" s="5"/>
      <c r="M20" s="5" t="e">
        <f>AVERAGE(Table1[[#This Row],[Surname]])</f>
        <v>#DIV/0!</v>
      </c>
      <c r="AH20" s="21">
        <v>46039</v>
      </c>
      <c r="AI20" s="22" t="s">
        <v>80</v>
      </c>
      <c r="AJ20" s="22" t="s">
        <v>111</v>
      </c>
      <c r="AK20" s="22" t="s">
        <v>94</v>
      </c>
      <c r="AL20" s="22" t="s">
        <v>95</v>
      </c>
      <c r="AM20" s="22">
        <v>6</v>
      </c>
    </row>
    <row r="21" spans="1:39" ht="19.5" customHeight="1" x14ac:dyDescent="0.25">
      <c r="A21" s="26" t="s">
        <v>39</v>
      </c>
      <c r="B21" s="26">
        <v>680</v>
      </c>
      <c r="C21" s="26" t="s">
        <v>10</v>
      </c>
      <c r="D21" s="26">
        <v>37</v>
      </c>
      <c r="E21" s="26">
        <v>6</v>
      </c>
      <c r="F21" s="26">
        <v>85000</v>
      </c>
      <c r="G21" s="4">
        <v>67000</v>
      </c>
      <c r="H21" s="5">
        <v>1</v>
      </c>
      <c r="I21" s="8" t="s">
        <v>11</v>
      </c>
      <c r="J21" s="5"/>
      <c r="K21" s="5"/>
      <c r="L21" s="5"/>
      <c r="M21" s="5" t="e">
        <f>AVERAGE(Table1[[#This Row],[Surname]])</f>
        <v>#DIV/0!</v>
      </c>
      <c r="AH21" s="21">
        <v>46040</v>
      </c>
      <c r="AI21" s="22" t="s">
        <v>69</v>
      </c>
      <c r="AJ21" s="22" t="s">
        <v>112</v>
      </c>
      <c r="AK21" s="22" t="s">
        <v>97</v>
      </c>
      <c r="AL21" s="22" t="s">
        <v>98</v>
      </c>
      <c r="AM21" s="22">
        <v>15</v>
      </c>
    </row>
    <row r="22" spans="1:39" ht="19.5" customHeight="1" x14ac:dyDescent="0.25">
      <c r="A22" s="26" t="s">
        <v>30</v>
      </c>
      <c r="B22" s="26">
        <v>700</v>
      </c>
      <c r="C22" s="26" t="s">
        <v>18</v>
      </c>
      <c r="D22" s="26">
        <v>38</v>
      </c>
      <c r="E22" s="26">
        <v>7</v>
      </c>
      <c r="F22" s="26">
        <v>105000</v>
      </c>
      <c r="G22" s="4">
        <v>73000</v>
      </c>
      <c r="H22" s="5">
        <v>1</v>
      </c>
      <c r="I22" s="8" t="s">
        <v>11</v>
      </c>
      <c r="J22" s="5"/>
      <c r="K22" s="5"/>
      <c r="L22" s="5"/>
      <c r="M22" s="5" t="e">
        <f>AVERAGE(Table1[[#This Row],[Surname]])</f>
        <v>#DIV/0!</v>
      </c>
      <c r="AH22" s="21">
        <v>46041</v>
      </c>
      <c r="AI22" s="22" t="s">
        <v>73</v>
      </c>
      <c r="AJ22" s="22" t="s">
        <v>113</v>
      </c>
      <c r="AK22" s="22" t="s">
        <v>100</v>
      </c>
      <c r="AL22" s="22" t="s">
        <v>101</v>
      </c>
      <c r="AM22" s="22">
        <v>12</v>
      </c>
    </row>
    <row r="23" spans="1:39" ht="19.5" customHeight="1" x14ac:dyDescent="0.25">
      <c r="A23" s="26" t="s">
        <v>22</v>
      </c>
      <c r="B23" s="26">
        <v>710</v>
      </c>
      <c r="C23" s="26" t="s">
        <v>18</v>
      </c>
      <c r="D23" s="26">
        <v>39</v>
      </c>
      <c r="E23" s="26">
        <v>7</v>
      </c>
      <c r="F23" s="26">
        <v>110000</v>
      </c>
      <c r="G23" s="4">
        <v>75000</v>
      </c>
      <c r="H23" s="5">
        <v>1</v>
      </c>
      <c r="I23" s="8" t="s">
        <v>11</v>
      </c>
      <c r="J23" s="5"/>
      <c r="K23" s="5"/>
      <c r="L23" s="5"/>
      <c r="M23" s="5" t="e">
        <f>AVERAGE(Table1[[#This Row],[Surname]])</f>
        <v>#DIV/0!</v>
      </c>
      <c r="AH23" s="21">
        <v>46042</v>
      </c>
      <c r="AI23" s="22" t="s">
        <v>80</v>
      </c>
      <c r="AJ23" s="22" t="s">
        <v>114</v>
      </c>
      <c r="AK23" s="22" t="s">
        <v>103</v>
      </c>
      <c r="AL23" s="22" t="s">
        <v>104</v>
      </c>
      <c r="AM23" s="22">
        <v>10</v>
      </c>
    </row>
    <row r="24" spans="1:39" ht="19.5" customHeight="1" x14ac:dyDescent="0.25">
      <c r="A24" s="26" t="s">
        <v>35</v>
      </c>
      <c r="B24" s="26">
        <v>690</v>
      </c>
      <c r="C24" s="26" t="s">
        <v>10</v>
      </c>
      <c r="D24" s="26">
        <v>40</v>
      </c>
      <c r="E24" s="26">
        <v>7</v>
      </c>
      <c r="F24" s="26">
        <v>95000</v>
      </c>
      <c r="G24" s="4">
        <v>71000</v>
      </c>
      <c r="H24" s="5">
        <v>1</v>
      </c>
      <c r="I24" s="8" t="s">
        <v>11</v>
      </c>
      <c r="J24" s="5"/>
      <c r="K24" s="5"/>
      <c r="L24" s="5"/>
      <c r="M24" s="5" t="e">
        <f>AVERAGE(Table1[[#This Row],[Surname]])</f>
        <v>#DIV/0!</v>
      </c>
      <c r="AH24" s="21">
        <v>46043</v>
      </c>
      <c r="AI24" s="22" t="s">
        <v>69</v>
      </c>
      <c r="AJ24" s="22" t="s">
        <v>115</v>
      </c>
      <c r="AK24" s="22" t="s">
        <v>71</v>
      </c>
      <c r="AL24" s="22" t="s">
        <v>72</v>
      </c>
      <c r="AM24" s="22">
        <v>24</v>
      </c>
    </row>
    <row r="25" spans="1:39" ht="19.5" customHeight="1" x14ac:dyDescent="0.25">
      <c r="A25" s="26" t="s">
        <v>25</v>
      </c>
      <c r="B25" s="26">
        <v>680</v>
      </c>
      <c r="C25" s="26" t="s">
        <v>15</v>
      </c>
      <c r="D25" s="26">
        <v>41</v>
      </c>
      <c r="E25" s="26">
        <v>8</v>
      </c>
      <c r="F25" s="26">
        <v>100000</v>
      </c>
      <c r="G25" s="4">
        <v>70000</v>
      </c>
      <c r="H25" s="5">
        <v>1</v>
      </c>
      <c r="I25" s="8" t="s">
        <v>11</v>
      </c>
      <c r="J25" s="5"/>
      <c r="K25" s="5"/>
      <c r="L25" s="5"/>
      <c r="M25" s="5" t="e">
        <f>AVERAGE(Table1[[#This Row],[Surname]])</f>
        <v>#DIV/0!</v>
      </c>
      <c r="AH25" s="21">
        <v>46044</v>
      </c>
      <c r="AI25" s="22" t="s">
        <v>73</v>
      </c>
      <c r="AJ25" s="22" t="s">
        <v>116</v>
      </c>
      <c r="AK25" s="22" t="s">
        <v>75</v>
      </c>
      <c r="AL25" s="22" t="s">
        <v>76</v>
      </c>
      <c r="AM25" s="22">
        <v>14</v>
      </c>
    </row>
    <row r="26" spans="1:39" ht="19.5" customHeight="1" x14ac:dyDescent="0.25">
      <c r="A26" s="26" t="s">
        <v>12</v>
      </c>
      <c r="B26" s="26">
        <v>720</v>
      </c>
      <c r="C26" s="26" t="s">
        <v>13</v>
      </c>
      <c r="D26" s="26">
        <v>42</v>
      </c>
      <c r="E26" s="26">
        <v>8</v>
      </c>
      <c r="F26" s="26">
        <v>120000</v>
      </c>
      <c r="G26" s="4">
        <v>80000</v>
      </c>
      <c r="H26" s="5">
        <v>1</v>
      </c>
      <c r="I26" s="8" t="s">
        <v>11</v>
      </c>
      <c r="J26" s="5">
        <v>2</v>
      </c>
      <c r="K26" s="5"/>
      <c r="L26" s="5"/>
      <c r="M26" s="5" t="e">
        <f>AVERAGE(Table1[[#This Row],[Surname]])</f>
        <v>#DIV/0!</v>
      </c>
      <c r="AH26" s="21">
        <v>46045</v>
      </c>
      <c r="AI26" s="22" t="s">
        <v>80</v>
      </c>
      <c r="AJ26" s="22" t="s">
        <v>117</v>
      </c>
      <c r="AK26" s="22" t="s">
        <v>78</v>
      </c>
      <c r="AL26" s="22" t="s">
        <v>79</v>
      </c>
      <c r="AM26" s="22">
        <v>11</v>
      </c>
    </row>
    <row r="27" spans="1:39" ht="19.5" customHeight="1" x14ac:dyDescent="0.25">
      <c r="A27" s="26" t="s">
        <v>41</v>
      </c>
      <c r="B27" s="26">
        <v>700</v>
      </c>
      <c r="C27" s="26" t="s">
        <v>15</v>
      </c>
      <c r="D27" s="26">
        <v>43</v>
      </c>
      <c r="E27" s="26">
        <v>8</v>
      </c>
      <c r="F27" s="26">
        <v>115000</v>
      </c>
      <c r="G27" s="4">
        <v>78000</v>
      </c>
      <c r="H27" s="5">
        <v>1</v>
      </c>
      <c r="I27" s="8" t="s">
        <v>11</v>
      </c>
      <c r="J27" s="5"/>
      <c r="K27" s="5"/>
      <c r="L27" s="5"/>
      <c r="M27" s="5" t="e">
        <f>AVERAGE(Table1[[#This Row],[Surname]])</f>
        <v>#DIV/0!</v>
      </c>
      <c r="AH27" s="21">
        <v>46046</v>
      </c>
      <c r="AI27" s="22" t="s">
        <v>69</v>
      </c>
      <c r="AJ27" s="22" t="s">
        <v>118</v>
      </c>
      <c r="AK27" s="22" t="s">
        <v>82</v>
      </c>
      <c r="AL27" s="22" t="s">
        <v>83</v>
      </c>
      <c r="AM27" s="22">
        <v>18</v>
      </c>
    </row>
    <row r="28" spans="1:39" ht="19.5" customHeight="1" x14ac:dyDescent="0.25">
      <c r="A28" s="26" t="s">
        <v>33</v>
      </c>
      <c r="B28" s="26">
        <v>710</v>
      </c>
      <c r="C28" s="26" t="s">
        <v>15</v>
      </c>
      <c r="D28" s="26">
        <v>44</v>
      </c>
      <c r="E28" s="26">
        <v>8</v>
      </c>
      <c r="F28" s="26">
        <v>125000</v>
      </c>
      <c r="G28" s="4">
        <v>82000</v>
      </c>
      <c r="H28" s="5">
        <v>1</v>
      </c>
      <c r="I28" s="8" t="s">
        <v>16</v>
      </c>
      <c r="J28" s="5"/>
      <c r="K28" s="5"/>
      <c r="L28" s="5"/>
      <c r="M28" s="5" t="e">
        <f>AVERAGE(Table1[[#This Row],[Surname]])</f>
        <v>#DIV/0!</v>
      </c>
      <c r="AH28" s="21">
        <v>46047</v>
      </c>
      <c r="AI28" s="22" t="s">
        <v>73</v>
      </c>
      <c r="AJ28" s="22" t="s">
        <v>119</v>
      </c>
      <c r="AK28" s="22" t="s">
        <v>85</v>
      </c>
      <c r="AL28" s="22" t="s">
        <v>86</v>
      </c>
      <c r="AM28" s="22">
        <v>16</v>
      </c>
    </row>
    <row r="29" spans="1:39" ht="19.5" customHeight="1" x14ac:dyDescent="0.25">
      <c r="A29" s="26" t="s">
        <v>20</v>
      </c>
      <c r="B29" s="26">
        <v>730</v>
      </c>
      <c r="C29" s="26" t="s">
        <v>13</v>
      </c>
      <c r="D29" s="26">
        <v>45</v>
      </c>
      <c r="E29" s="26">
        <v>9</v>
      </c>
      <c r="F29" s="26">
        <v>130000</v>
      </c>
      <c r="G29" s="4">
        <v>85000</v>
      </c>
      <c r="H29" s="5">
        <v>1</v>
      </c>
      <c r="I29" s="8" t="s">
        <v>16</v>
      </c>
      <c r="J29" s="5"/>
      <c r="K29" s="5"/>
      <c r="L29" s="5"/>
      <c r="M29" s="5" t="e">
        <f>AVERAGE(Table1[[#This Row],[Surname]])</f>
        <v>#DIV/0!</v>
      </c>
      <c r="AH29" s="21">
        <v>46048</v>
      </c>
      <c r="AI29" s="22" t="s">
        <v>69</v>
      </c>
      <c r="AJ29" s="22" t="s">
        <v>120</v>
      </c>
      <c r="AK29" s="22" t="s">
        <v>91</v>
      </c>
      <c r="AL29" s="22" t="s">
        <v>92</v>
      </c>
      <c r="AM29" s="22">
        <v>20</v>
      </c>
    </row>
    <row r="30" spans="1:39" ht="19.5" customHeight="1" x14ac:dyDescent="0.25">
      <c r="A30" s="26" t="s">
        <v>26</v>
      </c>
      <c r="B30" s="26">
        <v>720</v>
      </c>
      <c r="C30" s="26" t="s">
        <v>18</v>
      </c>
      <c r="D30" s="26">
        <v>46</v>
      </c>
      <c r="E30" s="26">
        <v>9</v>
      </c>
      <c r="F30" s="26" t="s">
        <v>45</v>
      </c>
      <c r="G30" s="4">
        <v>88000</v>
      </c>
      <c r="H30" s="5">
        <v>1</v>
      </c>
      <c r="I30" s="8" t="s">
        <v>16</v>
      </c>
      <c r="J30" s="5"/>
      <c r="K30" s="5"/>
      <c r="L30" s="5"/>
      <c r="M30" s="5" t="e">
        <f>AVERAGE(Table1[[#This Row],[Surname]])</f>
        <v>#DIV/0!</v>
      </c>
      <c r="AH30" s="21">
        <v>46049</v>
      </c>
      <c r="AI30" s="22" t="s">
        <v>80</v>
      </c>
      <c r="AJ30" s="22" t="s">
        <v>121</v>
      </c>
      <c r="AK30" s="22" t="s">
        <v>94</v>
      </c>
      <c r="AL30" s="22" t="s">
        <v>95</v>
      </c>
      <c r="AM30" s="22">
        <v>9</v>
      </c>
    </row>
    <row r="31" spans="1:39" ht="19.5" customHeight="1" x14ac:dyDescent="0.25">
      <c r="A31" s="26" t="s">
        <v>37</v>
      </c>
      <c r="B31" s="26">
        <v>720</v>
      </c>
      <c r="C31" s="26" t="s">
        <v>15</v>
      </c>
      <c r="D31" s="26">
        <v>47</v>
      </c>
      <c r="E31" s="26">
        <v>9</v>
      </c>
      <c r="F31" s="26">
        <v>145000</v>
      </c>
      <c r="G31" s="4">
        <v>90000</v>
      </c>
      <c r="H31" s="5">
        <v>1</v>
      </c>
      <c r="I31" s="8" t="s">
        <v>16</v>
      </c>
      <c r="J31" s="5"/>
      <c r="K31" s="5"/>
      <c r="L31" s="5"/>
      <c r="M31" s="5" t="e">
        <f>AVERAGE(Table1[[#This Row],[Surname]])</f>
        <v>#DIV/0!</v>
      </c>
      <c r="AH31" s="21">
        <v>46050</v>
      </c>
      <c r="AI31" s="22" t="s">
        <v>69</v>
      </c>
      <c r="AJ31" s="22" t="s">
        <v>122</v>
      </c>
      <c r="AK31" s="22" t="s">
        <v>97</v>
      </c>
      <c r="AL31" s="22" t="s">
        <v>98</v>
      </c>
      <c r="AM31" s="22">
        <v>13</v>
      </c>
    </row>
    <row r="32" spans="1:39" ht="19.5" customHeight="1" x14ac:dyDescent="0.25">
      <c r="A32" s="26" t="s">
        <v>44</v>
      </c>
      <c r="B32" s="26">
        <v>720</v>
      </c>
      <c r="C32" s="26" t="s">
        <v>13</v>
      </c>
      <c r="D32" s="26">
        <v>48</v>
      </c>
      <c r="E32" s="26">
        <v>10</v>
      </c>
      <c r="F32" s="26">
        <v>150000</v>
      </c>
      <c r="G32" s="4">
        <v>95000</v>
      </c>
      <c r="H32" s="5">
        <v>1</v>
      </c>
      <c r="I32" s="8" t="s">
        <v>16</v>
      </c>
      <c r="J32" s="5"/>
      <c r="K32" s="5"/>
      <c r="L32" s="5"/>
      <c r="M32" s="5" t="e">
        <f>AVERAGE(Table1[[#This Row],[Surname]])</f>
        <v>#DIV/0!</v>
      </c>
      <c r="AH32" s="21">
        <v>46051</v>
      </c>
      <c r="AI32" s="22" t="s">
        <v>73</v>
      </c>
      <c r="AJ32" s="22" t="s">
        <v>123</v>
      </c>
      <c r="AK32" s="22" t="s">
        <v>100</v>
      </c>
      <c r="AL32" s="22" t="s">
        <v>101</v>
      </c>
      <c r="AM32" s="22">
        <v>17</v>
      </c>
    </row>
    <row r="33" spans="1:39" ht="19.5" customHeight="1" x14ac:dyDescent="0.25">
      <c r="A33" s="26" t="s">
        <v>17</v>
      </c>
      <c r="B33" s="26">
        <v>690</v>
      </c>
      <c r="C33" s="26" t="s">
        <v>18</v>
      </c>
      <c r="D33" s="26">
        <v>50</v>
      </c>
      <c r="E33" s="26">
        <v>10</v>
      </c>
      <c r="F33" s="26">
        <v>150000</v>
      </c>
      <c r="G33" s="6">
        <v>90000</v>
      </c>
      <c r="H33" s="7">
        <v>1</v>
      </c>
      <c r="I33" s="9" t="s">
        <v>16</v>
      </c>
      <c r="J33" s="7">
        <v>5</v>
      </c>
      <c r="K33" s="7"/>
      <c r="L33" s="7"/>
      <c r="M33" s="7" t="e">
        <f>AVERAGE(Table1[[#This Row],[Surname]])</f>
        <v>#DIV/0!</v>
      </c>
      <c r="AH33" s="21">
        <v>46052</v>
      </c>
      <c r="AI33" s="22" t="s">
        <v>80</v>
      </c>
      <c r="AJ33" s="22" t="s">
        <v>124</v>
      </c>
      <c r="AK33" s="22" t="s">
        <v>103</v>
      </c>
      <c r="AL33" s="22" t="s">
        <v>104</v>
      </c>
      <c r="AM33" s="22">
        <v>8</v>
      </c>
    </row>
    <row r="34" spans="1:39" ht="19.5" customHeight="1" x14ac:dyDescent="0.25">
      <c r="A34" s="23"/>
      <c r="B34" s="23"/>
      <c r="C34" s="23"/>
      <c r="D34" s="23"/>
      <c r="E34" s="23"/>
      <c r="F34" s="23"/>
      <c r="AA34" t="e" cm="1">
        <f t="array" ref="AA34">+AG3AA30:AE34</f>
        <v>#NAME?</v>
      </c>
      <c r="AH34" s="21">
        <v>46053</v>
      </c>
      <c r="AI34" s="22" t="s">
        <v>69</v>
      </c>
      <c r="AJ34" s="22" t="s">
        <v>125</v>
      </c>
      <c r="AK34" s="22" t="s">
        <v>71</v>
      </c>
      <c r="AL34" s="22" t="s">
        <v>72</v>
      </c>
      <c r="AM34" s="22">
        <v>22</v>
      </c>
    </row>
    <row r="35" spans="1:39" ht="19.5" customHeight="1" x14ac:dyDescent="0.25">
      <c r="A35" s="23"/>
      <c r="B35" s="23">
        <f>AVERAGE(Table1[[CreditScore]:[Geography]])</f>
        <v>648.33333333333337</v>
      </c>
      <c r="C35" s="23"/>
      <c r="D35" s="23"/>
      <c r="E35" s="23"/>
      <c r="F35" s="23">
        <f>AVERAGE(Table1[Balance])</f>
        <v>73620.68965517242</v>
      </c>
      <c r="AH35" s="21">
        <v>46054</v>
      </c>
      <c r="AI35" s="22" t="s">
        <v>73</v>
      </c>
      <c r="AJ35" s="22" t="s">
        <v>126</v>
      </c>
      <c r="AK35" s="22" t="s">
        <v>75</v>
      </c>
      <c r="AL35" s="22" t="s">
        <v>76</v>
      </c>
      <c r="AM35" s="22">
        <v>15</v>
      </c>
    </row>
    <row r="36" spans="1:39" ht="19.5" customHeight="1" x14ac:dyDescent="0.25">
      <c r="A36" s="23"/>
      <c r="B36" s="23"/>
      <c r="C36" s="23"/>
      <c r="D36" s="23"/>
      <c r="E36" s="23"/>
      <c r="F36" s="23"/>
      <c r="AH36" s="21">
        <v>46055</v>
      </c>
      <c r="AI36" s="22" t="s">
        <v>80</v>
      </c>
      <c r="AJ36" s="22" t="s">
        <v>127</v>
      </c>
      <c r="AK36" s="22" t="s">
        <v>78</v>
      </c>
      <c r="AL36" s="22" t="s">
        <v>79</v>
      </c>
      <c r="AM36" s="22">
        <v>19</v>
      </c>
    </row>
    <row r="37" spans="1:39" ht="19.5" customHeight="1" x14ac:dyDescent="0.25">
      <c r="A37" s="23"/>
      <c r="B37" s="23">
        <f>AVERAGE(B2:B34)</f>
        <v>648.33333333333337</v>
      </c>
      <c r="C37" s="23"/>
      <c r="D37" s="23"/>
      <c r="E37" s="23"/>
      <c r="F37" s="23"/>
      <c r="AH37" s="21">
        <v>46056</v>
      </c>
      <c r="AI37" s="22" t="s">
        <v>69</v>
      </c>
      <c r="AJ37" s="22" t="s">
        <v>128</v>
      </c>
      <c r="AK37" s="22" t="s">
        <v>82</v>
      </c>
      <c r="AL37" s="22" t="s">
        <v>83</v>
      </c>
      <c r="AM37" s="22">
        <v>10</v>
      </c>
    </row>
    <row r="38" spans="1:39" ht="19.5" customHeight="1" x14ac:dyDescent="0.25">
      <c r="A38" s="23"/>
      <c r="B38" s="23"/>
      <c r="C38" s="23"/>
      <c r="D38" s="23"/>
      <c r="E38" s="23"/>
      <c r="F38" s="23"/>
      <c r="AH38" s="21">
        <v>46057</v>
      </c>
      <c r="AI38" s="22" t="s">
        <v>73</v>
      </c>
      <c r="AJ38" s="22" t="s">
        <v>129</v>
      </c>
      <c r="AK38" s="22" t="s">
        <v>85</v>
      </c>
      <c r="AL38" s="22" t="s">
        <v>86</v>
      </c>
      <c r="AM38" s="22">
        <v>14</v>
      </c>
    </row>
    <row r="39" spans="1:39" ht="19.5" customHeight="1" x14ac:dyDescent="0.25">
      <c r="A39" s="23"/>
      <c r="B39" s="23"/>
      <c r="C39" s="23"/>
      <c r="D39" s="23"/>
      <c r="E39" s="23"/>
      <c r="F39" s="23"/>
      <c r="AH39" s="21">
        <v>46058</v>
      </c>
      <c r="AI39" s="22" t="s">
        <v>69</v>
      </c>
      <c r="AJ39" s="22" t="s">
        <v>130</v>
      </c>
      <c r="AK39" s="22" t="s">
        <v>91</v>
      </c>
      <c r="AL39" s="22" t="s">
        <v>92</v>
      </c>
      <c r="AM39" s="22">
        <v>23</v>
      </c>
    </row>
    <row r="40" spans="1:39" ht="19.5" customHeight="1" x14ac:dyDescent="0.25">
      <c r="A40" s="23"/>
      <c r="B40" s="23"/>
      <c r="C40" s="23"/>
      <c r="D40" s="23"/>
      <c r="E40" s="23"/>
      <c r="F40" s="23"/>
      <c r="AH40" s="21">
        <v>46059</v>
      </c>
      <c r="AI40" s="22" t="s">
        <v>80</v>
      </c>
      <c r="AJ40" s="22" t="s">
        <v>131</v>
      </c>
      <c r="AK40" s="22" t="s">
        <v>94</v>
      </c>
      <c r="AL40" s="22" t="s">
        <v>95</v>
      </c>
      <c r="AM40" s="22">
        <v>12</v>
      </c>
    </row>
    <row r="41" spans="1:39" ht="19.5" customHeight="1" x14ac:dyDescent="0.25">
      <c r="A41" s="23"/>
      <c r="B41" s="23"/>
      <c r="C41" s="23"/>
      <c r="D41" s="23"/>
      <c r="E41" s="23"/>
      <c r="F41" s="23"/>
      <c r="AH41" s="21">
        <v>46060</v>
      </c>
      <c r="AI41" s="22" t="s">
        <v>69</v>
      </c>
      <c r="AJ41" s="22" t="s">
        <v>132</v>
      </c>
      <c r="AK41" s="22" t="s">
        <v>97</v>
      </c>
      <c r="AL41" s="22" t="s">
        <v>98</v>
      </c>
      <c r="AM41" s="22">
        <v>16</v>
      </c>
    </row>
    <row r="42" spans="1:39" ht="19.5" customHeight="1" x14ac:dyDescent="0.25">
      <c r="A42" s="23"/>
      <c r="B42" s="23"/>
      <c r="C42" s="23"/>
      <c r="D42" s="23"/>
      <c r="E42" s="23"/>
      <c r="F42" s="23"/>
      <c r="AH42" s="21">
        <v>46061</v>
      </c>
      <c r="AI42" s="22" t="s">
        <v>73</v>
      </c>
      <c r="AJ42" s="22" t="s">
        <v>133</v>
      </c>
      <c r="AK42" s="22" t="s">
        <v>100</v>
      </c>
      <c r="AL42" s="22" t="s">
        <v>101</v>
      </c>
      <c r="AM42" s="22">
        <v>11</v>
      </c>
    </row>
    <row r="43" spans="1:39" ht="19.5" customHeight="1" x14ac:dyDescent="0.25">
      <c r="A43" s="23"/>
      <c r="B43" s="23"/>
      <c r="C43" s="23"/>
      <c r="D43" s="23"/>
      <c r="E43" s="23"/>
      <c r="F43" s="23"/>
      <c r="AH43" s="21">
        <v>46062</v>
      </c>
      <c r="AI43" s="22" t="s">
        <v>80</v>
      </c>
      <c r="AJ43" s="22" t="s">
        <v>134</v>
      </c>
      <c r="AK43" s="22" t="s">
        <v>103</v>
      </c>
      <c r="AL43" s="22" t="s">
        <v>104</v>
      </c>
      <c r="AM43" s="22">
        <v>18</v>
      </c>
    </row>
    <row r="44" spans="1:39" ht="19.5" customHeight="1" x14ac:dyDescent="0.25">
      <c r="A44" s="23"/>
      <c r="B44" s="23"/>
      <c r="C44" s="23"/>
      <c r="D44" s="23"/>
      <c r="E44" s="23"/>
      <c r="F44" s="23"/>
      <c r="AH44" s="21">
        <v>46063</v>
      </c>
      <c r="AI44" s="22" t="s">
        <v>69</v>
      </c>
      <c r="AJ44" s="22" t="s">
        <v>135</v>
      </c>
      <c r="AK44" s="22" t="s">
        <v>71</v>
      </c>
      <c r="AL44" s="22" t="s">
        <v>72</v>
      </c>
      <c r="AM44" s="22">
        <v>7</v>
      </c>
    </row>
    <row r="45" spans="1:39" ht="19.5" customHeight="1" x14ac:dyDescent="0.25">
      <c r="A45" s="23"/>
      <c r="B45" s="23"/>
      <c r="C45" s="23"/>
      <c r="D45" s="23"/>
      <c r="E45" s="23"/>
      <c r="F45" s="23"/>
      <c r="AH45" s="21">
        <v>46064</v>
      </c>
      <c r="AI45" s="22" t="s">
        <v>73</v>
      </c>
      <c r="AJ45" s="22" t="s">
        <v>136</v>
      </c>
      <c r="AK45" s="22" t="s">
        <v>75</v>
      </c>
      <c r="AL45" s="22" t="s">
        <v>76</v>
      </c>
      <c r="AM45" s="22">
        <v>20</v>
      </c>
    </row>
    <row r="46" spans="1:39" ht="19.5" customHeight="1" x14ac:dyDescent="0.25">
      <c r="A46" s="23"/>
      <c r="B46" s="23"/>
      <c r="C46" s="23"/>
      <c r="D46" s="23"/>
      <c r="E46" s="23"/>
      <c r="F46" s="23"/>
      <c r="AH46" s="21">
        <v>46065</v>
      </c>
      <c r="AI46" s="22" t="s">
        <v>80</v>
      </c>
      <c r="AJ46" s="22" t="s">
        <v>137</v>
      </c>
      <c r="AK46" s="22" t="s">
        <v>78</v>
      </c>
      <c r="AL46" s="22" t="s">
        <v>79</v>
      </c>
      <c r="AM46" s="22">
        <v>13</v>
      </c>
    </row>
    <row r="47" spans="1:39" ht="19.5" customHeight="1" x14ac:dyDescent="0.25">
      <c r="A47" s="23"/>
      <c r="B47" s="23"/>
      <c r="C47" s="23"/>
      <c r="D47" s="23"/>
      <c r="E47" s="23"/>
      <c r="F47" s="23"/>
      <c r="AH47" s="21">
        <v>46066</v>
      </c>
      <c r="AI47" s="22" t="s">
        <v>69</v>
      </c>
      <c r="AJ47" s="22" t="s">
        <v>138</v>
      </c>
      <c r="AK47" s="22" t="s">
        <v>82</v>
      </c>
      <c r="AL47" s="22" t="s">
        <v>83</v>
      </c>
      <c r="AM47" s="22">
        <v>17</v>
      </c>
    </row>
    <row r="48" spans="1:39" ht="19.5" customHeight="1" x14ac:dyDescent="0.25">
      <c r="A48" s="23"/>
      <c r="B48" s="23"/>
      <c r="C48" s="23"/>
      <c r="D48" s="23"/>
      <c r="E48" s="23"/>
      <c r="F48" s="23"/>
      <c r="AH48" s="21">
        <v>46067</v>
      </c>
      <c r="AI48" s="22" t="s">
        <v>73</v>
      </c>
      <c r="AJ48" s="22" t="s">
        <v>139</v>
      </c>
      <c r="AK48" s="22" t="s">
        <v>85</v>
      </c>
      <c r="AL48" s="22" t="s">
        <v>86</v>
      </c>
      <c r="AM48" s="22">
        <v>9</v>
      </c>
    </row>
    <row r="49" spans="1:39" ht="19.5" customHeight="1" x14ac:dyDescent="0.25">
      <c r="A49" s="23"/>
      <c r="B49" s="23"/>
      <c r="C49" s="23"/>
      <c r="D49" s="23"/>
      <c r="E49" s="23"/>
      <c r="F49" s="23"/>
      <c r="AH49" s="21">
        <v>46068</v>
      </c>
      <c r="AI49" s="22" t="s">
        <v>69</v>
      </c>
      <c r="AJ49" s="22" t="s">
        <v>140</v>
      </c>
      <c r="AK49" s="22" t="s">
        <v>91</v>
      </c>
      <c r="AL49" s="22" t="s">
        <v>92</v>
      </c>
      <c r="AM49" s="22">
        <v>21</v>
      </c>
    </row>
    <row r="50" spans="1:39" ht="19.5" customHeight="1" x14ac:dyDescent="0.25">
      <c r="A50" s="23"/>
      <c r="B50" s="23"/>
      <c r="C50" s="23"/>
      <c r="D50" s="23"/>
      <c r="E50" s="23"/>
      <c r="F50" s="23"/>
      <c r="AH50" s="21">
        <v>46069</v>
      </c>
      <c r="AI50" s="22" t="s">
        <v>80</v>
      </c>
      <c r="AJ50" s="22" t="s">
        <v>141</v>
      </c>
      <c r="AK50" s="22" t="s">
        <v>94</v>
      </c>
      <c r="AL50" s="22" t="s">
        <v>95</v>
      </c>
      <c r="AM50" s="22">
        <v>14</v>
      </c>
    </row>
    <row r="51" spans="1:39" ht="19.5" customHeight="1" x14ac:dyDescent="0.25">
      <c r="A51" s="23"/>
      <c r="B51" s="23"/>
      <c r="C51" s="23"/>
      <c r="D51" s="23"/>
      <c r="E51" s="23"/>
      <c r="F51" s="23"/>
      <c r="AH51" s="21">
        <v>46070</v>
      </c>
      <c r="AI51" s="22" t="s">
        <v>69</v>
      </c>
      <c r="AJ51" s="22" t="s">
        <v>142</v>
      </c>
      <c r="AK51" s="22" t="s">
        <v>97</v>
      </c>
      <c r="AL51" s="22" t="s">
        <v>98</v>
      </c>
      <c r="AM51" s="22">
        <v>10</v>
      </c>
    </row>
    <row r="52" spans="1:39" ht="19.5" customHeight="1" x14ac:dyDescent="0.25">
      <c r="A52" s="23"/>
      <c r="B52" s="23"/>
      <c r="C52" s="23"/>
      <c r="D52" s="23"/>
      <c r="E52" s="23"/>
      <c r="F52" s="23"/>
      <c r="AH52" s="21">
        <v>46071</v>
      </c>
      <c r="AI52" s="22" t="s">
        <v>73</v>
      </c>
      <c r="AJ52" s="22" t="s">
        <v>143</v>
      </c>
      <c r="AK52" s="22" t="s">
        <v>100</v>
      </c>
      <c r="AL52" s="22" t="s">
        <v>101</v>
      </c>
      <c r="AM52" s="22">
        <v>22</v>
      </c>
    </row>
    <row r="53" spans="1:39" ht="19.5" customHeight="1" x14ac:dyDescent="0.25">
      <c r="A53" s="23"/>
      <c r="B53" s="23"/>
      <c r="C53" s="23"/>
      <c r="D53" s="23"/>
      <c r="E53" s="23"/>
      <c r="F53" s="23"/>
      <c r="AH53" s="21">
        <v>46072</v>
      </c>
      <c r="AI53" s="22" t="s">
        <v>80</v>
      </c>
      <c r="AJ53" s="22" t="s">
        <v>144</v>
      </c>
      <c r="AK53" s="22" t="s">
        <v>103</v>
      </c>
      <c r="AL53" s="22" t="s">
        <v>104</v>
      </c>
      <c r="AM53" s="22">
        <v>15</v>
      </c>
    </row>
    <row r="54" spans="1:39" ht="19.5" customHeight="1" x14ac:dyDescent="0.25">
      <c r="A54" s="23"/>
      <c r="B54" s="23"/>
      <c r="C54" s="23"/>
      <c r="D54" s="23"/>
      <c r="E54" s="23"/>
      <c r="F54" s="23"/>
      <c r="AH54" s="21">
        <v>46073</v>
      </c>
      <c r="AI54" s="22" t="s">
        <v>69</v>
      </c>
      <c r="AJ54" s="22" t="s">
        <v>145</v>
      </c>
      <c r="AK54" s="22" t="s">
        <v>71</v>
      </c>
      <c r="AL54" s="22" t="s">
        <v>72</v>
      </c>
      <c r="AM54" s="22">
        <v>12</v>
      </c>
    </row>
    <row r="55" spans="1:39" ht="19.5" customHeight="1" x14ac:dyDescent="0.25">
      <c r="A55" s="23"/>
      <c r="B55" s="23"/>
      <c r="C55" s="23"/>
      <c r="D55" s="23"/>
      <c r="E55" s="23"/>
      <c r="F55" s="23"/>
      <c r="AH55" s="21">
        <v>46074</v>
      </c>
      <c r="AI55" s="22" t="s">
        <v>73</v>
      </c>
      <c r="AJ55" s="22" t="s">
        <v>146</v>
      </c>
      <c r="AK55" s="22" t="s">
        <v>75</v>
      </c>
      <c r="AL55" s="22" t="s">
        <v>76</v>
      </c>
      <c r="AM55" s="22">
        <v>18</v>
      </c>
    </row>
    <row r="56" spans="1:39" ht="19.5" customHeight="1" x14ac:dyDescent="0.25">
      <c r="A56" s="23"/>
      <c r="B56" s="23"/>
      <c r="C56" s="23"/>
      <c r="D56" s="23"/>
      <c r="E56" s="23"/>
      <c r="F56" s="23"/>
      <c r="AH56" s="21">
        <v>46075</v>
      </c>
      <c r="AI56" s="22" t="s">
        <v>80</v>
      </c>
      <c r="AJ56" s="22" t="s">
        <v>147</v>
      </c>
      <c r="AK56" s="22" t="s">
        <v>78</v>
      </c>
      <c r="AL56" s="22" t="s">
        <v>79</v>
      </c>
      <c r="AM56" s="22">
        <v>24</v>
      </c>
    </row>
    <row r="57" spans="1:39" ht="19.5" customHeight="1" x14ac:dyDescent="0.25">
      <c r="A57" s="23"/>
      <c r="B57" s="23"/>
      <c r="C57" s="23"/>
      <c r="D57" s="23"/>
      <c r="E57" s="23"/>
      <c r="F57" s="23"/>
      <c r="AH57" s="21">
        <v>46076</v>
      </c>
      <c r="AI57" s="22" t="s">
        <v>69</v>
      </c>
      <c r="AJ57" s="22" t="s">
        <v>148</v>
      </c>
      <c r="AK57" s="22" t="s">
        <v>82</v>
      </c>
      <c r="AL57" s="22" t="s">
        <v>83</v>
      </c>
      <c r="AM57" s="22">
        <v>8</v>
      </c>
    </row>
    <row r="58" spans="1:39" ht="19.5" customHeight="1" x14ac:dyDescent="0.25">
      <c r="A58" s="23"/>
      <c r="B58" s="23"/>
      <c r="C58" s="23"/>
      <c r="D58" s="23"/>
      <c r="E58" s="23"/>
      <c r="F58" s="23"/>
      <c r="AH58" s="21">
        <v>46077</v>
      </c>
      <c r="AI58" s="22" t="s">
        <v>73</v>
      </c>
      <c r="AJ58" s="22" t="s">
        <v>149</v>
      </c>
      <c r="AK58" s="22" t="s">
        <v>85</v>
      </c>
      <c r="AL58" s="22" t="s">
        <v>86</v>
      </c>
      <c r="AM58" s="22">
        <v>16</v>
      </c>
    </row>
    <row r="59" spans="1:39" ht="19.5" customHeight="1" x14ac:dyDescent="0.25">
      <c r="A59" s="23"/>
      <c r="B59" s="23"/>
      <c r="C59" s="23"/>
      <c r="D59" s="23"/>
      <c r="E59" s="23"/>
      <c r="F59" s="23"/>
      <c r="AH59" s="21">
        <v>46078</v>
      </c>
      <c r="AI59" s="22" t="s">
        <v>69</v>
      </c>
      <c r="AJ59" s="22" t="s">
        <v>150</v>
      </c>
      <c r="AK59" s="22" t="s">
        <v>91</v>
      </c>
      <c r="AL59" s="22" t="s">
        <v>92</v>
      </c>
      <c r="AM59" s="22">
        <v>19</v>
      </c>
    </row>
    <row r="60" spans="1:39" ht="19.5" customHeight="1" x14ac:dyDescent="0.25">
      <c r="A60" s="23"/>
      <c r="B60" s="23"/>
      <c r="C60" s="23"/>
      <c r="D60" s="23"/>
      <c r="E60" s="23"/>
      <c r="F60" s="23"/>
      <c r="AH60" s="21">
        <v>46079</v>
      </c>
      <c r="AI60" s="22" t="s">
        <v>80</v>
      </c>
      <c r="AJ60" s="22" t="s">
        <v>151</v>
      </c>
      <c r="AK60" s="22" t="s">
        <v>94</v>
      </c>
      <c r="AL60" s="22" t="s">
        <v>95</v>
      </c>
      <c r="AM60" s="22">
        <v>11</v>
      </c>
    </row>
    <row r="61" spans="1:39" ht="19.5" customHeight="1" x14ac:dyDescent="0.25">
      <c r="A61" s="23"/>
      <c r="B61" s="23"/>
      <c r="C61" s="23"/>
      <c r="D61" s="23"/>
      <c r="E61" s="23"/>
      <c r="F61" s="23"/>
      <c r="AH61" s="21">
        <v>46080</v>
      </c>
      <c r="AI61" s="22" t="s">
        <v>69</v>
      </c>
      <c r="AJ61" s="22" t="s">
        <v>152</v>
      </c>
      <c r="AK61" s="22" t="s">
        <v>97</v>
      </c>
      <c r="AL61" s="22" t="s">
        <v>98</v>
      </c>
      <c r="AM61" s="22">
        <v>14</v>
      </c>
    </row>
    <row r="62" spans="1:39" ht="19.5" customHeight="1" x14ac:dyDescent="0.25">
      <c r="A62" s="23"/>
      <c r="B62" s="23"/>
      <c r="C62" s="23"/>
      <c r="D62" s="23"/>
      <c r="E62" s="23"/>
      <c r="F62" s="23"/>
      <c r="AH62" s="21">
        <v>46081</v>
      </c>
      <c r="AI62" s="22" t="s">
        <v>73</v>
      </c>
      <c r="AJ62" s="22" t="s">
        <v>153</v>
      </c>
      <c r="AK62" s="22" t="s">
        <v>100</v>
      </c>
      <c r="AL62" s="22" t="s">
        <v>101</v>
      </c>
      <c r="AM62" s="22">
        <v>20</v>
      </c>
    </row>
    <row r="63" spans="1:39" ht="19.5" customHeight="1" x14ac:dyDescent="0.25">
      <c r="A63" s="23"/>
      <c r="B63" s="23"/>
      <c r="C63" s="23"/>
      <c r="D63" s="23"/>
      <c r="E63" s="23"/>
      <c r="F63" s="23"/>
      <c r="AH63" s="21">
        <v>46082</v>
      </c>
      <c r="AI63" s="22" t="s">
        <v>80</v>
      </c>
      <c r="AJ63" s="22" t="s">
        <v>154</v>
      </c>
      <c r="AK63" s="22" t="s">
        <v>103</v>
      </c>
      <c r="AL63" s="22" t="s">
        <v>104</v>
      </c>
      <c r="AM63" s="22">
        <v>13</v>
      </c>
    </row>
    <row r="64" spans="1:39" ht="19.5" customHeight="1" x14ac:dyDescent="0.25">
      <c r="A64" s="23"/>
      <c r="B64" s="23"/>
      <c r="C64" s="23"/>
      <c r="D64" s="23"/>
      <c r="E64" s="23"/>
      <c r="F64" s="23"/>
      <c r="AH64" s="21">
        <v>46083</v>
      </c>
      <c r="AI64" s="22" t="s">
        <v>69</v>
      </c>
      <c r="AJ64" s="22" t="s">
        <v>155</v>
      </c>
      <c r="AK64" s="22" t="s">
        <v>71</v>
      </c>
      <c r="AL64" s="22" t="s">
        <v>72</v>
      </c>
      <c r="AM64" s="22">
        <v>17</v>
      </c>
    </row>
    <row r="65" spans="1:39" ht="19.5" customHeight="1" x14ac:dyDescent="0.25">
      <c r="A65" s="23"/>
      <c r="B65" s="23"/>
      <c r="C65" s="23"/>
      <c r="D65" s="23"/>
      <c r="E65" s="23"/>
      <c r="F65" s="23"/>
      <c r="AH65" s="21">
        <v>46084</v>
      </c>
      <c r="AI65" s="22" t="s">
        <v>73</v>
      </c>
      <c r="AJ65" s="22" t="s">
        <v>156</v>
      </c>
      <c r="AK65" s="22" t="s">
        <v>75</v>
      </c>
      <c r="AL65" s="22" t="s">
        <v>76</v>
      </c>
      <c r="AM65" s="22">
        <v>9</v>
      </c>
    </row>
    <row r="66" spans="1:39" ht="19.5" customHeight="1" x14ac:dyDescent="0.25">
      <c r="A66" s="23"/>
      <c r="B66" s="23"/>
      <c r="C66" s="23"/>
      <c r="D66" s="23"/>
      <c r="E66" s="23"/>
      <c r="F66" s="23"/>
      <c r="AH66" s="21">
        <v>46085</v>
      </c>
      <c r="AI66" s="22" t="s">
        <v>80</v>
      </c>
      <c r="AJ66" s="22" t="s">
        <v>157</v>
      </c>
      <c r="AK66" s="22" t="s">
        <v>78</v>
      </c>
      <c r="AL66" s="22" t="s">
        <v>79</v>
      </c>
      <c r="AM66" s="22">
        <v>21</v>
      </c>
    </row>
    <row r="67" spans="1:39" ht="19.5" customHeight="1" x14ac:dyDescent="0.25">
      <c r="A67" s="23"/>
      <c r="B67" s="23"/>
      <c r="C67" s="23"/>
      <c r="D67" s="23"/>
      <c r="E67" s="23"/>
      <c r="F67" s="23"/>
      <c r="AH67" s="21">
        <v>46086</v>
      </c>
      <c r="AI67" s="22" t="s">
        <v>69</v>
      </c>
      <c r="AJ67" s="22" t="s">
        <v>158</v>
      </c>
      <c r="AK67" s="22" t="s">
        <v>82</v>
      </c>
      <c r="AL67" s="22" t="s">
        <v>83</v>
      </c>
      <c r="AM67" s="22">
        <v>12</v>
      </c>
    </row>
    <row r="68" spans="1:39" ht="19.5" customHeight="1" x14ac:dyDescent="0.25">
      <c r="A68" s="23"/>
      <c r="B68" s="23"/>
      <c r="C68" s="23"/>
      <c r="D68" s="23"/>
      <c r="E68" s="23"/>
      <c r="F68" s="23"/>
      <c r="AH68" s="21">
        <v>46087</v>
      </c>
      <c r="AI68" s="22" t="s">
        <v>73</v>
      </c>
      <c r="AJ68" s="22" t="s">
        <v>159</v>
      </c>
      <c r="AK68" s="22" t="s">
        <v>85</v>
      </c>
      <c r="AL68" s="22" t="s">
        <v>86</v>
      </c>
      <c r="AM68" s="22">
        <v>15</v>
      </c>
    </row>
    <row r="69" spans="1:39" ht="19.5" customHeight="1" x14ac:dyDescent="0.25">
      <c r="A69" s="23"/>
      <c r="B69" s="23"/>
      <c r="C69" s="23"/>
      <c r="D69" s="23"/>
      <c r="E69" s="23"/>
      <c r="F69" s="23"/>
      <c r="AH69" s="21">
        <v>46088</v>
      </c>
      <c r="AI69" s="22" t="s">
        <v>69</v>
      </c>
      <c r="AJ69" s="22" t="s">
        <v>160</v>
      </c>
      <c r="AK69" s="22" t="s">
        <v>91</v>
      </c>
      <c r="AL69" s="22" t="s">
        <v>92</v>
      </c>
      <c r="AM69" s="22">
        <v>18</v>
      </c>
    </row>
    <row r="70" spans="1:39" ht="19.5" customHeight="1" x14ac:dyDescent="0.25">
      <c r="A70" s="23"/>
      <c r="B70" s="23"/>
      <c r="C70" s="23"/>
      <c r="D70" s="23"/>
      <c r="E70" s="23"/>
      <c r="F70" s="23"/>
      <c r="AH70" s="21">
        <v>46089</v>
      </c>
      <c r="AI70" s="22" t="s">
        <v>80</v>
      </c>
      <c r="AJ70" s="22" t="s">
        <v>161</v>
      </c>
      <c r="AK70" s="22" t="s">
        <v>94</v>
      </c>
      <c r="AL70" s="22" t="s">
        <v>95</v>
      </c>
      <c r="AM70" s="22">
        <v>10</v>
      </c>
    </row>
    <row r="71" spans="1:39" ht="19.5" customHeight="1" x14ac:dyDescent="0.25">
      <c r="A71" s="23"/>
      <c r="B71" s="23"/>
      <c r="C71" s="23"/>
      <c r="D71" s="23"/>
      <c r="E71" s="23"/>
      <c r="F71" s="23"/>
      <c r="AH71" s="21">
        <v>46090</v>
      </c>
      <c r="AI71" s="22" t="s">
        <v>69</v>
      </c>
      <c r="AJ71" s="22" t="s">
        <v>162</v>
      </c>
      <c r="AK71" s="22" t="s">
        <v>97</v>
      </c>
      <c r="AL71" s="22" t="s">
        <v>98</v>
      </c>
      <c r="AM71" s="22">
        <v>23</v>
      </c>
    </row>
    <row r="72" spans="1:39" ht="19.5" customHeight="1" x14ac:dyDescent="0.25">
      <c r="A72" s="23"/>
      <c r="B72" s="23"/>
      <c r="C72" s="23"/>
      <c r="D72" s="23"/>
      <c r="E72" s="23"/>
      <c r="F72" s="23"/>
      <c r="AH72" s="21">
        <v>46091</v>
      </c>
      <c r="AI72" s="22" t="s">
        <v>73</v>
      </c>
      <c r="AJ72" s="22" t="s">
        <v>163</v>
      </c>
      <c r="AK72" s="22" t="s">
        <v>100</v>
      </c>
      <c r="AL72" s="22" t="s">
        <v>101</v>
      </c>
      <c r="AM72" s="22">
        <v>14</v>
      </c>
    </row>
    <row r="73" spans="1:39" ht="19.5" customHeight="1" x14ac:dyDescent="0.25">
      <c r="A73" s="23"/>
      <c r="B73" s="23"/>
      <c r="C73" s="23"/>
      <c r="D73" s="23"/>
      <c r="E73" s="23"/>
      <c r="F73" s="23"/>
      <c r="AH73" s="21">
        <v>46092</v>
      </c>
      <c r="AI73" s="22" t="s">
        <v>80</v>
      </c>
      <c r="AJ73" s="22" t="s">
        <v>164</v>
      </c>
      <c r="AK73" s="22" t="s">
        <v>103</v>
      </c>
      <c r="AL73" s="22" t="s">
        <v>104</v>
      </c>
      <c r="AM73" s="22">
        <v>16</v>
      </c>
    </row>
    <row r="74" spans="1:39" ht="19.5" customHeight="1" x14ac:dyDescent="0.25">
      <c r="A74" s="23"/>
      <c r="B74" s="23"/>
      <c r="C74" s="23"/>
      <c r="D74" s="23"/>
      <c r="E74" s="23"/>
      <c r="F74" s="23"/>
      <c r="AH74" s="21">
        <v>46093</v>
      </c>
      <c r="AI74" s="22" t="s">
        <v>69</v>
      </c>
      <c r="AJ74" s="22" t="s">
        <v>165</v>
      </c>
      <c r="AK74" s="22" t="s">
        <v>71</v>
      </c>
      <c r="AL74" s="22" t="s">
        <v>72</v>
      </c>
      <c r="AM74" s="22">
        <v>20</v>
      </c>
    </row>
    <row r="75" spans="1:39" ht="19.5" customHeight="1" x14ac:dyDescent="0.25">
      <c r="A75" s="23"/>
      <c r="B75" s="23"/>
      <c r="C75" s="23"/>
      <c r="D75" s="23"/>
      <c r="E75" s="23"/>
      <c r="F75" s="23"/>
      <c r="AH75" s="21">
        <v>46094</v>
      </c>
      <c r="AI75" s="22" t="s">
        <v>73</v>
      </c>
      <c r="AJ75" s="22" t="s">
        <v>166</v>
      </c>
      <c r="AK75" s="22" t="s">
        <v>75</v>
      </c>
      <c r="AL75" s="22" t="s">
        <v>76</v>
      </c>
      <c r="AM75" s="22">
        <v>11</v>
      </c>
    </row>
    <row r="76" spans="1:39" ht="19.5" customHeight="1" x14ac:dyDescent="0.25">
      <c r="A76" s="23"/>
      <c r="B76" s="23"/>
      <c r="C76" s="23"/>
      <c r="D76" s="23"/>
      <c r="E76" s="23"/>
      <c r="F76" s="23"/>
      <c r="AH76" s="21">
        <v>46095</v>
      </c>
      <c r="AI76" s="22" t="s">
        <v>80</v>
      </c>
      <c r="AJ76" s="22" t="s">
        <v>167</v>
      </c>
      <c r="AK76" s="22" t="s">
        <v>78</v>
      </c>
      <c r="AL76" s="22" t="s">
        <v>79</v>
      </c>
      <c r="AM76" s="22">
        <v>18</v>
      </c>
    </row>
    <row r="77" spans="1:39" ht="19.5" customHeight="1" x14ac:dyDescent="0.25">
      <c r="A77" s="23"/>
      <c r="B77" s="23"/>
      <c r="C77" s="23"/>
      <c r="D77" s="23"/>
      <c r="E77" s="23"/>
      <c r="F77" s="23"/>
      <c r="AH77" s="21">
        <v>46096</v>
      </c>
      <c r="AI77" s="22" t="s">
        <v>69</v>
      </c>
      <c r="AJ77" s="22" t="s">
        <v>168</v>
      </c>
      <c r="AK77" s="22" t="s">
        <v>82</v>
      </c>
      <c r="AL77" s="22" t="s">
        <v>83</v>
      </c>
      <c r="AM77" s="22">
        <v>13</v>
      </c>
    </row>
    <row r="78" spans="1:39" ht="19.5" customHeight="1" x14ac:dyDescent="0.25">
      <c r="A78" s="23"/>
      <c r="B78" s="23"/>
      <c r="C78" s="23"/>
      <c r="D78" s="23"/>
      <c r="E78" s="23"/>
      <c r="F78" s="23"/>
      <c r="AH78" s="21">
        <v>46097</v>
      </c>
      <c r="AI78" s="22" t="s">
        <v>73</v>
      </c>
      <c r="AJ78" s="22" t="s">
        <v>169</v>
      </c>
      <c r="AK78" s="22" t="s">
        <v>85</v>
      </c>
      <c r="AL78" s="22" t="s">
        <v>86</v>
      </c>
      <c r="AM78" s="22">
        <v>22</v>
      </c>
    </row>
    <row r="79" spans="1:39" ht="19.5" customHeight="1" x14ac:dyDescent="0.25">
      <c r="A79" s="23"/>
      <c r="B79" s="23"/>
      <c r="C79" s="23"/>
      <c r="D79" s="23"/>
      <c r="E79" s="23"/>
      <c r="F79" s="23"/>
      <c r="AH79" s="21">
        <v>46098</v>
      </c>
      <c r="AI79" s="22" t="s">
        <v>69</v>
      </c>
      <c r="AJ79" s="22" t="s">
        <v>170</v>
      </c>
      <c r="AK79" s="22" t="s">
        <v>91</v>
      </c>
      <c r="AL79" s="22" t="s">
        <v>92</v>
      </c>
      <c r="AM79" s="22">
        <v>15</v>
      </c>
    </row>
    <row r="80" spans="1:39" ht="19.5" customHeight="1" x14ac:dyDescent="0.25">
      <c r="A80" s="23"/>
      <c r="B80" s="23"/>
      <c r="C80" s="23"/>
      <c r="D80" s="23"/>
      <c r="E80" s="23"/>
      <c r="F80" s="23"/>
      <c r="AH80" s="21">
        <v>46099</v>
      </c>
      <c r="AI80" s="22" t="s">
        <v>80</v>
      </c>
      <c r="AJ80" s="22" t="s">
        <v>171</v>
      </c>
      <c r="AK80" s="22" t="s">
        <v>94</v>
      </c>
      <c r="AL80" s="22" t="s">
        <v>95</v>
      </c>
      <c r="AM80" s="22">
        <v>8</v>
      </c>
    </row>
    <row r="81" spans="1:39" ht="19.5" customHeight="1" x14ac:dyDescent="0.25">
      <c r="A81" s="23"/>
      <c r="B81" s="23"/>
      <c r="C81" s="23"/>
      <c r="D81" s="23"/>
      <c r="E81" s="23"/>
      <c r="F81" s="23"/>
      <c r="AH81" s="21">
        <v>46100</v>
      </c>
      <c r="AI81" s="22" t="s">
        <v>69</v>
      </c>
      <c r="AJ81" s="22" t="s">
        <v>172</v>
      </c>
      <c r="AK81" s="22" t="s">
        <v>97</v>
      </c>
      <c r="AL81" s="22" t="s">
        <v>98</v>
      </c>
      <c r="AM81" s="22">
        <v>19</v>
      </c>
    </row>
    <row r="82" spans="1:39" ht="19.5" customHeight="1" x14ac:dyDescent="0.25">
      <c r="A82" s="23"/>
      <c r="B82" s="23"/>
      <c r="C82" s="23"/>
      <c r="D82" s="23"/>
      <c r="E82" s="23"/>
      <c r="F82" s="23"/>
      <c r="AH82" s="21">
        <v>46101</v>
      </c>
      <c r="AI82" s="22" t="s">
        <v>73</v>
      </c>
      <c r="AJ82" s="22" t="s">
        <v>173</v>
      </c>
      <c r="AK82" s="22" t="s">
        <v>100</v>
      </c>
      <c r="AL82" s="22" t="s">
        <v>101</v>
      </c>
      <c r="AM82" s="22">
        <v>12</v>
      </c>
    </row>
    <row r="83" spans="1:39" ht="19.5" customHeight="1" x14ac:dyDescent="0.25">
      <c r="A83" s="23"/>
      <c r="B83" s="23"/>
      <c r="C83" s="23"/>
      <c r="D83" s="23"/>
      <c r="E83" s="23"/>
      <c r="F83" s="23"/>
      <c r="AH83" s="21">
        <v>46102</v>
      </c>
      <c r="AI83" s="22" t="s">
        <v>80</v>
      </c>
      <c r="AJ83" s="22" t="s">
        <v>174</v>
      </c>
      <c r="AK83" s="22" t="s">
        <v>103</v>
      </c>
      <c r="AL83" s="22" t="s">
        <v>104</v>
      </c>
      <c r="AM83" s="22">
        <v>17</v>
      </c>
    </row>
    <row r="84" spans="1:39" ht="19.5" customHeight="1" x14ac:dyDescent="0.25">
      <c r="A84" s="23"/>
      <c r="B84" s="23"/>
      <c r="C84" s="23"/>
      <c r="D84" s="23"/>
      <c r="E84" s="23"/>
      <c r="F84" s="23"/>
      <c r="AH84" s="21">
        <v>46103</v>
      </c>
      <c r="AI84" s="22" t="s">
        <v>69</v>
      </c>
      <c r="AJ84" s="22" t="s">
        <v>175</v>
      </c>
      <c r="AK84" s="22" t="s">
        <v>71</v>
      </c>
      <c r="AL84" s="22" t="s">
        <v>72</v>
      </c>
      <c r="AM84" s="22">
        <v>14</v>
      </c>
    </row>
    <row r="85" spans="1:39" ht="19.5" customHeight="1" x14ac:dyDescent="0.25">
      <c r="A85" s="23"/>
      <c r="B85" s="23"/>
      <c r="C85" s="23"/>
      <c r="D85" s="23"/>
      <c r="E85" s="23"/>
      <c r="F85" s="23"/>
      <c r="AH85" s="21">
        <v>46104</v>
      </c>
      <c r="AI85" s="22" t="s">
        <v>73</v>
      </c>
      <c r="AJ85" s="22" t="s">
        <v>176</v>
      </c>
      <c r="AK85" s="22" t="s">
        <v>75</v>
      </c>
      <c r="AL85" s="22" t="s">
        <v>76</v>
      </c>
      <c r="AM85" s="22">
        <v>21</v>
      </c>
    </row>
    <row r="86" spans="1:39" ht="19.5" customHeight="1" x14ac:dyDescent="0.25">
      <c r="A86" s="23"/>
      <c r="B86" s="23"/>
      <c r="C86" s="23"/>
      <c r="D86" s="23"/>
      <c r="E86" s="23"/>
      <c r="F86" s="23"/>
      <c r="AH86" s="21">
        <v>46105</v>
      </c>
      <c r="AI86" s="22" t="s">
        <v>80</v>
      </c>
      <c r="AJ86" s="22" t="s">
        <v>177</v>
      </c>
      <c r="AK86" s="22" t="s">
        <v>78</v>
      </c>
      <c r="AL86" s="22" t="s">
        <v>79</v>
      </c>
      <c r="AM86" s="22">
        <v>10</v>
      </c>
    </row>
    <row r="87" spans="1:39" ht="19.5" customHeight="1" x14ac:dyDescent="0.25">
      <c r="A87" s="23"/>
      <c r="B87" s="23"/>
      <c r="C87" s="23"/>
      <c r="D87" s="23"/>
      <c r="E87" s="23"/>
      <c r="F87" s="23"/>
      <c r="AH87" s="21">
        <v>46106</v>
      </c>
      <c r="AI87" s="22" t="s">
        <v>69</v>
      </c>
      <c r="AJ87" s="22" t="s">
        <v>178</v>
      </c>
      <c r="AK87" s="22" t="s">
        <v>82</v>
      </c>
      <c r="AL87" s="22" t="s">
        <v>83</v>
      </c>
      <c r="AM87" s="22">
        <v>16</v>
      </c>
    </row>
    <row r="88" spans="1:39" ht="19.5" customHeight="1" x14ac:dyDescent="0.25">
      <c r="A88" s="23"/>
      <c r="B88" s="23"/>
      <c r="C88" s="23"/>
      <c r="D88" s="23"/>
      <c r="E88" s="23"/>
      <c r="F88" s="23"/>
      <c r="AH88" s="21">
        <v>46107</v>
      </c>
      <c r="AI88" s="22" t="s">
        <v>73</v>
      </c>
      <c r="AJ88" s="22" t="s">
        <v>179</v>
      </c>
      <c r="AK88" s="22" t="s">
        <v>85</v>
      </c>
      <c r="AL88" s="22" t="s">
        <v>86</v>
      </c>
      <c r="AM88" s="22">
        <v>13</v>
      </c>
    </row>
    <row r="89" spans="1:39" ht="19.5" customHeight="1" x14ac:dyDescent="0.25">
      <c r="A89" s="23"/>
      <c r="B89" s="23"/>
      <c r="C89" s="23"/>
      <c r="D89" s="23"/>
      <c r="E89" s="23"/>
      <c r="F89" s="23"/>
      <c r="AH89" s="21">
        <v>46108</v>
      </c>
      <c r="AI89" s="22" t="s">
        <v>69</v>
      </c>
      <c r="AJ89" s="22" t="s">
        <v>180</v>
      </c>
      <c r="AK89" s="22" t="s">
        <v>91</v>
      </c>
      <c r="AL89" s="22" t="s">
        <v>92</v>
      </c>
      <c r="AM89" s="22">
        <v>24</v>
      </c>
    </row>
    <row r="90" spans="1:39" ht="19.5" customHeight="1" x14ac:dyDescent="0.25">
      <c r="A90" s="23"/>
      <c r="B90" s="23"/>
      <c r="C90" s="23"/>
      <c r="D90" s="23"/>
      <c r="E90" s="23"/>
      <c r="F90" s="23"/>
      <c r="AH90" s="21">
        <v>46109</v>
      </c>
      <c r="AI90" s="22" t="s">
        <v>80</v>
      </c>
      <c r="AJ90" s="22" t="s">
        <v>181</v>
      </c>
      <c r="AK90" s="22" t="s">
        <v>94</v>
      </c>
      <c r="AL90" s="22" t="s">
        <v>95</v>
      </c>
      <c r="AM90" s="22">
        <v>9</v>
      </c>
    </row>
    <row r="91" spans="1:39" ht="19.5" customHeight="1" x14ac:dyDescent="0.25">
      <c r="A91" s="23"/>
      <c r="B91" s="23"/>
      <c r="C91" s="23"/>
      <c r="D91" s="23"/>
      <c r="E91" s="23"/>
      <c r="F91" s="23"/>
      <c r="AH91" s="21">
        <v>46110</v>
      </c>
      <c r="AI91" s="22" t="s">
        <v>69</v>
      </c>
      <c r="AJ91" s="22" t="s">
        <v>182</v>
      </c>
      <c r="AK91" s="22" t="s">
        <v>97</v>
      </c>
      <c r="AL91" s="22" t="s">
        <v>98</v>
      </c>
      <c r="AM91" s="22">
        <v>15</v>
      </c>
    </row>
    <row r="92" spans="1:39" ht="19.5" customHeight="1" x14ac:dyDescent="0.25">
      <c r="A92" s="23"/>
      <c r="B92" s="23"/>
      <c r="C92" s="23"/>
      <c r="D92" s="23"/>
      <c r="E92" s="23"/>
      <c r="F92" s="23"/>
      <c r="AH92" s="21">
        <v>46111</v>
      </c>
      <c r="AI92" s="22" t="s">
        <v>73</v>
      </c>
      <c r="AJ92" s="22" t="s">
        <v>183</v>
      </c>
      <c r="AK92" s="22" t="s">
        <v>100</v>
      </c>
      <c r="AL92" s="22" t="s">
        <v>101</v>
      </c>
      <c r="AM92" s="22">
        <v>18</v>
      </c>
    </row>
    <row r="93" spans="1:39" ht="19.5" customHeight="1" x14ac:dyDescent="0.25">
      <c r="A93" s="23"/>
      <c r="B93" s="23"/>
      <c r="C93" s="23"/>
      <c r="D93" s="23"/>
      <c r="E93" s="23"/>
      <c r="F93" s="23"/>
      <c r="AH93" s="21">
        <v>46112</v>
      </c>
      <c r="AI93" s="22" t="s">
        <v>80</v>
      </c>
      <c r="AJ93" s="22" t="s">
        <v>184</v>
      </c>
      <c r="AK93" s="22" t="s">
        <v>103</v>
      </c>
      <c r="AL93" s="22" t="s">
        <v>104</v>
      </c>
      <c r="AM93" s="22">
        <v>11</v>
      </c>
    </row>
    <row r="94" spans="1:39" ht="19.5" customHeight="1" x14ac:dyDescent="0.25">
      <c r="A94" s="23"/>
      <c r="B94" s="23"/>
      <c r="C94" s="23"/>
      <c r="D94" s="23"/>
      <c r="E94" s="23"/>
      <c r="F94" s="23"/>
      <c r="AH94" s="21">
        <v>46113</v>
      </c>
      <c r="AI94" s="22" t="s">
        <v>69</v>
      </c>
      <c r="AJ94" s="22" t="s">
        <v>185</v>
      </c>
      <c r="AK94" s="22" t="s">
        <v>71</v>
      </c>
      <c r="AL94" s="22" t="s">
        <v>72</v>
      </c>
      <c r="AM94" s="22">
        <v>20</v>
      </c>
    </row>
    <row r="95" spans="1:39" ht="19.5" customHeight="1" x14ac:dyDescent="0.25">
      <c r="A95" s="23"/>
      <c r="B95" s="23"/>
      <c r="C95" s="23"/>
      <c r="D95" s="23"/>
      <c r="E95" s="23"/>
      <c r="F95" s="23"/>
      <c r="AH95" s="21">
        <v>46114</v>
      </c>
      <c r="AI95" s="22" t="s">
        <v>73</v>
      </c>
      <c r="AJ95" s="22" t="s">
        <v>186</v>
      </c>
      <c r="AK95" s="22" t="s">
        <v>75</v>
      </c>
      <c r="AL95" s="22" t="s">
        <v>76</v>
      </c>
      <c r="AM95" s="22">
        <v>14</v>
      </c>
    </row>
    <row r="96" spans="1:39" ht="19.5" customHeight="1" x14ac:dyDescent="0.25">
      <c r="A96" s="23"/>
      <c r="B96" s="23"/>
      <c r="C96" s="23"/>
      <c r="D96" s="23"/>
      <c r="E96" s="23"/>
      <c r="F96" s="23"/>
      <c r="AH96" s="21">
        <v>46115</v>
      </c>
      <c r="AI96" s="22" t="s">
        <v>80</v>
      </c>
      <c r="AJ96" s="22" t="s">
        <v>187</v>
      </c>
      <c r="AK96" s="22" t="s">
        <v>78</v>
      </c>
      <c r="AL96" s="22" t="s">
        <v>79</v>
      </c>
      <c r="AM96" s="22">
        <v>17</v>
      </c>
    </row>
    <row r="97" spans="1:39" ht="19.5" customHeight="1" x14ac:dyDescent="0.25">
      <c r="A97" s="23"/>
      <c r="B97" s="23"/>
      <c r="C97" s="23"/>
      <c r="D97" s="23"/>
      <c r="E97" s="23"/>
      <c r="F97" s="23"/>
      <c r="AH97" s="21">
        <v>46116</v>
      </c>
      <c r="AI97" s="22" t="s">
        <v>69</v>
      </c>
      <c r="AJ97" s="22" t="s">
        <v>188</v>
      </c>
      <c r="AK97" s="22" t="s">
        <v>82</v>
      </c>
      <c r="AL97" s="22" t="s">
        <v>83</v>
      </c>
      <c r="AM97" s="22">
        <v>12</v>
      </c>
    </row>
    <row r="98" spans="1:39" ht="19.5" customHeight="1" x14ac:dyDescent="0.25">
      <c r="A98" s="23"/>
      <c r="B98" s="23"/>
      <c r="C98" s="23"/>
      <c r="D98" s="23"/>
      <c r="E98" s="23"/>
      <c r="F98" s="23"/>
      <c r="AH98" s="21">
        <v>46117</v>
      </c>
      <c r="AI98" s="22" t="s">
        <v>73</v>
      </c>
      <c r="AJ98" s="22" t="s">
        <v>189</v>
      </c>
      <c r="AK98" s="22" t="s">
        <v>85</v>
      </c>
      <c r="AL98" s="22" t="s">
        <v>86</v>
      </c>
      <c r="AM98" s="22">
        <v>23</v>
      </c>
    </row>
    <row r="99" spans="1:39" ht="19.5" customHeight="1" x14ac:dyDescent="0.25">
      <c r="A99" s="23"/>
      <c r="B99" s="23"/>
      <c r="C99" s="23"/>
      <c r="D99" s="23"/>
      <c r="E99" s="23"/>
      <c r="F99" s="23"/>
      <c r="AH99" s="21">
        <v>46118</v>
      </c>
      <c r="AI99" s="22" t="s">
        <v>69</v>
      </c>
      <c r="AJ99" s="22" t="s">
        <v>190</v>
      </c>
      <c r="AK99" s="22" t="s">
        <v>91</v>
      </c>
      <c r="AL99" s="22" t="s">
        <v>92</v>
      </c>
      <c r="AM99" s="22">
        <v>16</v>
      </c>
    </row>
    <row r="100" spans="1:39" ht="19.5" customHeight="1" x14ac:dyDescent="0.25">
      <c r="A100" s="23"/>
      <c r="B100" s="23"/>
      <c r="C100" s="23"/>
      <c r="D100" s="23"/>
      <c r="E100" s="23"/>
      <c r="F100" s="23"/>
      <c r="AH100" s="21">
        <v>46119</v>
      </c>
      <c r="AI100" s="22" t="s">
        <v>80</v>
      </c>
      <c r="AJ100" s="22" t="s">
        <v>191</v>
      </c>
      <c r="AK100" s="22" t="s">
        <v>94</v>
      </c>
      <c r="AL100" s="22" t="s">
        <v>95</v>
      </c>
      <c r="AM100" s="22">
        <v>10</v>
      </c>
    </row>
    <row r="101" spans="1:39" ht="19.5" customHeight="1" x14ac:dyDescent="0.25">
      <c r="A101" s="23"/>
      <c r="B101" s="23"/>
      <c r="C101" s="23"/>
      <c r="D101" s="23"/>
      <c r="E101" s="23"/>
      <c r="F101" s="23"/>
      <c r="AH101" s="21">
        <v>46120</v>
      </c>
      <c r="AI101" s="22" t="s">
        <v>69</v>
      </c>
      <c r="AJ101" s="22" t="s">
        <v>192</v>
      </c>
      <c r="AK101" s="22" t="s">
        <v>97</v>
      </c>
      <c r="AL101" s="22" t="s">
        <v>98</v>
      </c>
      <c r="AM101" s="22">
        <v>18</v>
      </c>
    </row>
    <row r="102" spans="1:39" ht="19.5" customHeight="1" x14ac:dyDescent="0.25">
      <c r="A102" s="23"/>
      <c r="B102" s="23"/>
      <c r="C102" s="23"/>
      <c r="D102" s="23"/>
      <c r="E102" s="23"/>
      <c r="F102" s="23"/>
      <c r="AH102" s="21">
        <v>46121</v>
      </c>
      <c r="AI102" s="22" t="s">
        <v>73</v>
      </c>
      <c r="AJ102" s="22" t="s">
        <v>193</v>
      </c>
      <c r="AK102" s="22" t="s">
        <v>100</v>
      </c>
      <c r="AL102" s="22" t="s">
        <v>101</v>
      </c>
      <c r="AM102" s="22">
        <v>13</v>
      </c>
    </row>
    <row r="103" spans="1:39" ht="19.5" customHeight="1" x14ac:dyDescent="0.25">
      <c r="A103" s="23"/>
      <c r="B103" s="23"/>
      <c r="C103" s="23"/>
      <c r="D103" s="23"/>
      <c r="E103" s="23"/>
      <c r="F103" s="23"/>
      <c r="AH103" s="21">
        <v>46122</v>
      </c>
      <c r="AI103" s="22" t="s">
        <v>80</v>
      </c>
      <c r="AJ103" s="22" t="s">
        <v>194</v>
      </c>
      <c r="AK103" s="22" t="s">
        <v>103</v>
      </c>
      <c r="AL103" s="22" t="s">
        <v>104</v>
      </c>
      <c r="AM103" s="22">
        <v>21</v>
      </c>
    </row>
  </sheetData>
  <scenarios current="0" show="0">
    <scenario name="best100" locked="1" count="1" user="23691a4021" comment="Created by 23691a4021 on 08-06-2026">
      <inputCells r="V6" val="100"/>
    </scenario>
  </scenarios>
  <phoneticPr fontId="2" type="noConversion"/>
  <dataValidations count="6">
    <dataValidation errorStyle="warning" allowBlank="1" showInputMessage="1" showErrorMessage="1" sqref="M2:M4" xr:uid="{FB0A6C4E-938B-46DC-8105-2B2D266ACA07}"/>
    <dataValidation type="list" showDropDown="1" showInputMessage="1" showErrorMessage="1" sqref="C1:C1048576" xr:uid="{9242AEF7-8064-437C-A528-77B2001C215A}">
      <formula1>$C$6:$C$8</formula1>
    </dataValidation>
    <dataValidation type="whole" allowBlank="1" showInputMessage="1" showErrorMessage="1" sqref="D1" xr:uid="{F71A10C4-45D9-4A50-AF60-FF511E320900}">
      <formula1>D2</formula1>
      <formula2>D33</formula2>
    </dataValidation>
    <dataValidation type="whole" allowBlank="1" showInputMessage="1" showErrorMessage="1" sqref="D2:D4" xr:uid="{27404AC7-4A1B-4DF7-8C7A-4F829533BA6F}">
      <formula1>D5</formula1>
      <formula2>D34</formula2>
    </dataValidation>
    <dataValidation type="whole" allowBlank="1" showInputMessage="1" showErrorMessage="1" sqref="D5:D1048548 D1048576" xr:uid="{03709FB5-9DE7-4697-A158-D255C45DCDED}">
      <formula1>D6</formula1>
      <formula2>D35</formula2>
    </dataValidation>
    <dataValidation type="whole" allowBlank="1" showInputMessage="1" showErrorMessage="1" sqref="D1048549:D1048576" xr:uid="{D9E204B8-0B8A-4531-B469-628F42FB3EA2}">
      <formula1>D1048550</formula1>
      <formula2>D1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920A-523D-443B-999A-40DFC6A609DA}">
  <sheetPr codeName="Sheet4"/>
  <dimension ref="A1:AC111"/>
  <sheetViews>
    <sheetView tabSelected="1" workbookViewId="0">
      <selection activeCell="J10" sqref="J10"/>
    </sheetView>
  </sheetViews>
  <sheetFormatPr defaultRowHeight="15" x14ac:dyDescent="0.25"/>
  <cols>
    <col min="1" max="4" width="19" customWidth="1"/>
    <col min="5" max="5" width="22" customWidth="1"/>
    <col min="6" max="6" width="13.85546875" customWidth="1"/>
    <col min="13" max="13" width="14.5703125" customWidth="1"/>
    <col min="14" max="14" width="16.5703125" customWidth="1"/>
    <col min="15" max="15" width="13" customWidth="1"/>
    <col min="16" max="16" width="16.5703125" customWidth="1"/>
    <col min="17" max="17" width="21.28515625" customWidth="1"/>
    <col min="18" max="18" width="11" customWidth="1"/>
  </cols>
  <sheetData>
    <row r="1" spans="1:29" ht="18" customHeight="1" x14ac:dyDescent="0.3">
      <c r="A1" s="19" t="s">
        <v>63</v>
      </c>
      <c r="B1" s="20" t="s">
        <v>64</v>
      </c>
      <c r="C1" s="20" t="s">
        <v>65</v>
      </c>
      <c r="D1" s="20" t="s">
        <v>66</v>
      </c>
      <c r="E1" s="20" t="s">
        <v>67</v>
      </c>
      <c r="F1" s="20" t="s">
        <v>68</v>
      </c>
      <c r="M1" s="27" t="s">
        <v>63</v>
      </c>
      <c r="N1" s="28" t="s">
        <v>64</v>
      </c>
      <c r="O1" s="28" t="s">
        <v>65</v>
      </c>
      <c r="P1" s="28" t="s">
        <v>66</v>
      </c>
      <c r="Q1" s="28" t="s">
        <v>67</v>
      </c>
      <c r="R1" s="28" t="s">
        <v>68</v>
      </c>
    </row>
    <row r="2" spans="1:29" ht="18" customHeight="1" x14ac:dyDescent="0.25">
      <c r="A2" s="24">
        <v>46023</v>
      </c>
      <c r="B2" s="23" t="s">
        <v>69</v>
      </c>
      <c r="C2" s="23" t="s">
        <v>70</v>
      </c>
      <c r="D2" s="23" t="s">
        <v>71</v>
      </c>
      <c r="E2" s="23" t="s">
        <v>72</v>
      </c>
      <c r="F2" s="23">
        <v>15</v>
      </c>
      <c r="M2" s="29">
        <v>46023</v>
      </c>
      <c r="N2" s="30" t="s">
        <v>69</v>
      </c>
      <c r="O2" s="30" t="s">
        <v>70</v>
      </c>
      <c r="P2" s="30" t="s">
        <v>71</v>
      </c>
      <c r="Q2" s="30" t="s">
        <v>72</v>
      </c>
      <c r="R2" s="30">
        <v>15</v>
      </c>
    </row>
    <row r="3" spans="1:29" ht="18" customHeight="1" x14ac:dyDescent="0.25">
      <c r="A3" s="24"/>
      <c r="B3" s="23" t="s">
        <v>201</v>
      </c>
      <c r="C3" s="23"/>
      <c r="D3" s="23"/>
      <c r="E3" s="23"/>
      <c r="F3" s="23"/>
      <c r="M3" s="29"/>
      <c r="N3" s="30"/>
      <c r="O3" s="30"/>
      <c r="P3" s="30"/>
      <c r="Q3" s="30"/>
      <c r="R3" s="30"/>
    </row>
    <row r="4" spans="1:29" ht="18" customHeight="1" x14ac:dyDescent="0.25">
      <c r="A4" s="24"/>
      <c r="B4" s="23" t="s">
        <v>202</v>
      </c>
      <c r="C4" s="23"/>
      <c r="D4" s="23"/>
      <c r="E4" s="23"/>
      <c r="F4" s="23"/>
      <c r="M4" s="29"/>
      <c r="N4" s="30"/>
      <c r="O4" s="30"/>
      <c r="P4" s="30"/>
      <c r="Q4" s="30"/>
      <c r="R4" s="30"/>
    </row>
    <row r="5" spans="1:29" ht="18" customHeight="1" x14ac:dyDescent="0.25">
      <c r="A5" s="24">
        <v>46024</v>
      </c>
      <c r="B5" s="23" t="s">
        <v>73</v>
      </c>
      <c r="C5" s="23" t="s">
        <v>74</v>
      </c>
      <c r="D5" s="23" t="s">
        <v>75</v>
      </c>
      <c r="E5" s="23" t="s">
        <v>76</v>
      </c>
      <c r="F5" s="23">
        <v>10</v>
      </c>
      <c r="M5" s="29">
        <v>46024</v>
      </c>
      <c r="N5" s="30" t="s">
        <v>73</v>
      </c>
      <c r="O5" s="30" t="s">
        <v>74</v>
      </c>
      <c r="P5" s="30" t="s">
        <v>75</v>
      </c>
      <c r="Q5" s="30" t="s">
        <v>76</v>
      </c>
      <c r="R5" s="30">
        <v>10</v>
      </c>
      <c r="X5" s="17"/>
      <c r="Y5" s="17"/>
      <c r="Z5" s="17"/>
      <c r="AA5" s="17"/>
      <c r="AB5" s="17"/>
      <c r="AC5" s="17"/>
    </row>
    <row r="6" spans="1:29" ht="18" customHeight="1" x14ac:dyDescent="0.25">
      <c r="A6" s="24"/>
      <c r="B6" s="23" t="s">
        <v>201</v>
      </c>
      <c r="C6" s="23"/>
      <c r="D6" s="23"/>
      <c r="E6" s="23"/>
      <c r="F6" s="23"/>
      <c r="M6" s="29"/>
      <c r="N6" s="30"/>
      <c r="O6" s="30"/>
      <c r="P6" s="30"/>
      <c r="Q6" s="30"/>
      <c r="R6" s="30"/>
      <c r="X6" s="17"/>
      <c r="Y6" s="17"/>
      <c r="Z6" s="17"/>
      <c r="AA6" s="17"/>
      <c r="AB6" s="17"/>
      <c r="AC6" s="17"/>
    </row>
    <row r="7" spans="1:29" ht="18" customHeight="1" x14ac:dyDescent="0.25">
      <c r="A7" s="24"/>
      <c r="B7" s="23" t="s">
        <v>202</v>
      </c>
      <c r="C7" s="23"/>
      <c r="D7" s="23"/>
      <c r="E7" s="23"/>
      <c r="F7" s="23"/>
      <c r="M7" s="29"/>
      <c r="N7" s="30"/>
      <c r="O7" s="30"/>
      <c r="P7" s="30"/>
      <c r="Q7" s="30"/>
      <c r="R7" s="30"/>
      <c r="X7" s="17"/>
      <c r="Y7" s="17"/>
      <c r="Z7" s="17"/>
      <c r="AA7" s="17"/>
      <c r="AB7" s="17"/>
      <c r="AC7" s="17"/>
    </row>
    <row r="8" spans="1:29" ht="18" customHeight="1" x14ac:dyDescent="0.25">
      <c r="A8" s="24">
        <v>46025</v>
      </c>
      <c r="B8" s="23" t="s">
        <v>80</v>
      </c>
      <c r="C8" s="23" t="s">
        <v>87</v>
      </c>
      <c r="D8" s="23" t="s">
        <v>78</v>
      </c>
      <c r="E8" s="23" t="s">
        <v>79</v>
      </c>
      <c r="F8" s="23">
        <v>20</v>
      </c>
      <c r="M8" s="29">
        <v>46025</v>
      </c>
      <c r="N8" s="30" t="s">
        <v>80</v>
      </c>
      <c r="O8" s="30" t="s">
        <v>87</v>
      </c>
      <c r="P8" s="30" t="s">
        <v>78</v>
      </c>
      <c r="Q8" s="30" t="s">
        <v>79</v>
      </c>
      <c r="R8" s="30">
        <v>20</v>
      </c>
      <c r="X8" s="18"/>
      <c r="Y8" s="18"/>
      <c r="Z8" s="18"/>
      <c r="AA8" s="18"/>
      <c r="AB8" s="18"/>
      <c r="AC8" s="18"/>
    </row>
    <row r="9" spans="1:29" ht="18" customHeight="1" x14ac:dyDescent="0.25">
      <c r="A9" s="24"/>
      <c r="B9" s="23" t="s">
        <v>201</v>
      </c>
      <c r="C9" s="23"/>
      <c r="D9" s="23"/>
      <c r="E9" s="23"/>
      <c r="F9" s="23"/>
      <c r="M9" s="29"/>
      <c r="N9" s="30"/>
      <c r="O9" s="30"/>
      <c r="P9" s="30"/>
      <c r="Q9" s="30"/>
      <c r="R9" s="30"/>
      <c r="X9" s="18"/>
      <c r="Y9" s="18"/>
      <c r="Z9" s="18"/>
      <c r="AA9" s="18"/>
      <c r="AB9" s="18"/>
      <c r="AC9" s="18"/>
    </row>
    <row r="10" spans="1:29" ht="18" customHeight="1" x14ac:dyDescent="0.25">
      <c r="A10" s="24"/>
      <c r="B10" s="23" t="s">
        <v>202</v>
      </c>
      <c r="C10" s="23"/>
      <c r="D10" s="23"/>
      <c r="E10" s="23"/>
      <c r="F10" s="23"/>
      <c r="M10" s="29"/>
      <c r="N10" s="30"/>
      <c r="O10" s="30"/>
      <c r="P10" s="30"/>
      <c r="Q10" s="30"/>
      <c r="R10" s="30"/>
      <c r="X10" s="18"/>
      <c r="Y10" s="18"/>
      <c r="Z10" s="18"/>
      <c r="AA10" s="18"/>
      <c r="AB10" s="18"/>
      <c r="AC10" s="18"/>
    </row>
    <row r="11" spans="1:29" ht="18" customHeight="1" x14ac:dyDescent="0.25">
      <c r="A11" s="24">
        <v>46026</v>
      </c>
      <c r="B11" s="23" t="s">
        <v>69</v>
      </c>
      <c r="C11" s="23" t="s">
        <v>88</v>
      </c>
      <c r="D11" s="23" t="s">
        <v>82</v>
      </c>
      <c r="E11" s="23" t="s">
        <v>83</v>
      </c>
      <c r="F11" s="23">
        <v>12</v>
      </c>
      <c r="M11" s="29">
        <v>46026</v>
      </c>
      <c r="N11" s="30" t="s">
        <v>69</v>
      </c>
      <c r="O11" s="30" t="s">
        <v>88</v>
      </c>
      <c r="P11" s="30" t="s">
        <v>82</v>
      </c>
      <c r="Q11" s="30" t="s">
        <v>83</v>
      </c>
      <c r="R11" s="30">
        <v>12</v>
      </c>
      <c r="X11" s="18"/>
      <c r="Y11" s="18"/>
      <c r="Z11" s="18"/>
      <c r="AA11" s="18"/>
      <c r="AB11" s="18"/>
      <c r="AC11" s="18"/>
    </row>
    <row r="12" spans="1:29" ht="18" customHeight="1" x14ac:dyDescent="0.25">
      <c r="A12" s="24"/>
      <c r="B12" s="23" t="s">
        <v>201</v>
      </c>
      <c r="C12" s="23"/>
      <c r="D12" s="23"/>
      <c r="E12" s="23"/>
      <c r="F12" s="23"/>
      <c r="M12" s="29"/>
      <c r="N12" s="30"/>
      <c r="O12" s="30"/>
      <c r="P12" s="30"/>
      <c r="Q12" s="30"/>
      <c r="R12" s="30"/>
      <c r="X12" s="18"/>
      <c r="Y12" s="18"/>
      <c r="Z12" s="18"/>
      <c r="AA12" s="18"/>
      <c r="AB12" s="18"/>
      <c r="AC12" s="18"/>
    </row>
    <row r="13" spans="1:29" ht="18" customHeight="1" x14ac:dyDescent="0.25">
      <c r="A13" s="24"/>
      <c r="B13" s="23" t="s">
        <v>202</v>
      </c>
      <c r="C13" s="23"/>
      <c r="D13" s="23"/>
      <c r="E13" s="23"/>
      <c r="F13" s="23"/>
      <c r="M13" s="29"/>
      <c r="N13" s="30"/>
      <c r="O13" s="30"/>
      <c r="P13" s="30"/>
      <c r="Q13" s="30"/>
      <c r="R13" s="30"/>
      <c r="X13" s="18"/>
      <c r="Y13" s="18"/>
      <c r="Z13" s="18"/>
      <c r="AA13" s="18"/>
      <c r="AB13" s="18"/>
      <c r="AC13" s="18"/>
    </row>
    <row r="14" spans="1:29" ht="18" customHeight="1" x14ac:dyDescent="0.25">
      <c r="A14" s="24">
        <v>46027</v>
      </c>
      <c r="B14" s="23" t="s">
        <v>73</v>
      </c>
      <c r="C14" s="23" t="s">
        <v>89</v>
      </c>
      <c r="D14" s="23" t="s">
        <v>85</v>
      </c>
      <c r="E14" s="23" t="s">
        <v>86</v>
      </c>
      <c r="F14" s="23">
        <v>8</v>
      </c>
      <c r="M14" s="29">
        <v>46027</v>
      </c>
      <c r="N14" s="30" t="s">
        <v>73</v>
      </c>
      <c r="O14" s="30" t="s">
        <v>89</v>
      </c>
      <c r="P14" s="30" t="s">
        <v>85</v>
      </c>
      <c r="Q14" s="30" t="s">
        <v>86</v>
      </c>
      <c r="R14" s="30">
        <v>8</v>
      </c>
      <c r="X14" s="18"/>
      <c r="Y14" s="18"/>
      <c r="Z14" s="18"/>
      <c r="AA14" s="18"/>
      <c r="AB14" s="18"/>
      <c r="AC14" s="18"/>
    </row>
    <row r="15" spans="1:29" ht="18" customHeight="1" x14ac:dyDescent="0.25">
      <c r="A15" s="24"/>
      <c r="B15" s="23" t="s">
        <v>201</v>
      </c>
      <c r="C15" s="23"/>
      <c r="D15" s="23"/>
      <c r="E15" s="23"/>
      <c r="F15" s="23"/>
      <c r="M15" s="29"/>
      <c r="N15" s="30"/>
      <c r="O15" s="30"/>
      <c r="P15" s="30"/>
      <c r="Q15" s="30"/>
      <c r="R15" s="30"/>
      <c r="X15" s="18"/>
      <c r="Y15" s="18"/>
      <c r="Z15" s="18"/>
      <c r="AA15" s="18"/>
      <c r="AB15" s="18"/>
      <c r="AC15" s="18"/>
    </row>
    <row r="16" spans="1:29" ht="18" customHeight="1" x14ac:dyDescent="0.25">
      <c r="A16" s="24"/>
      <c r="B16" s="23" t="s">
        <v>202</v>
      </c>
      <c r="C16" s="23"/>
      <c r="D16" s="23"/>
      <c r="E16" s="23"/>
      <c r="F16" s="23"/>
      <c r="M16" s="29"/>
      <c r="N16" s="30"/>
      <c r="O16" s="30"/>
      <c r="P16" s="30"/>
      <c r="Q16" s="30"/>
      <c r="R16" s="30"/>
      <c r="X16" s="18"/>
      <c r="Y16" s="18"/>
      <c r="Z16" s="18"/>
      <c r="AA16" s="18"/>
      <c r="AB16" s="18"/>
      <c r="AC16" s="18"/>
    </row>
    <row r="17" spans="1:29" ht="18" customHeight="1" x14ac:dyDescent="0.25">
      <c r="A17" s="24">
        <v>46028</v>
      </c>
      <c r="B17" s="23" t="s">
        <v>69</v>
      </c>
      <c r="C17" s="23" t="s">
        <v>90</v>
      </c>
      <c r="D17" s="23" t="s">
        <v>91</v>
      </c>
      <c r="E17" s="23" t="s">
        <v>92</v>
      </c>
      <c r="F17" s="23">
        <v>18</v>
      </c>
      <c r="M17" s="29">
        <v>46028</v>
      </c>
      <c r="N17" s="30" t="s">
        <v>69</v>
      </c>
      <c r="O17" s="30" t="s">
        <v>90</v>
      </c>
      <c r="P17" s="30" t="s">
        <v>91</v>
      </c>
      <c r="Q17" s="30" t="s">
        <v>92</v>
      </c>
      <c r="R17" s="30">
        <v>18</v>
      </c>
      <c r="X17" s="18"/>
      <c r="Y17" s="18"/>
      <c r="Z17" s="18"/>
      <c r="AA17" s="18"/>
      <c r="AB17" s="18"/>
      <c r="AC17" s="18"/>
    </row>
    <row r="18" spans="1:29" ht="18" customHeight="1" x14ac:dyDescent="0.25">
      <c r="A18" s="24">
        <v>46029</v>
      </c>
      <c r="B18" s="23" t="s">
        <v>80</v>
      </c>
      <c r="C18" s="23" t="s">
        <v>93</v>
      </c>
      <c r="D18" s="23" t="s">
        <v>94</v>
      </c>
      <c r="E18" s="23" t="s">
        <v>95</v>
      </c>
      <c r="F18" s="23">
        <v>14</v>
      </c>
      <c r="M18" s="29">
        <v>46029</v>
      </c>
      <c r="N18" s="30" t="s">
        <v>80</v>
      </c>
      <c r="O18" s="30" t="s">
        <v>93</v>
      </c>
      <c r="P18" s="30" t="s">
        <v>94</v>
      </c>
      <c r="Q18" s="30" t="s">
        <v>95</v>
      </c>
      <c r="R18" s="30">
        <v>14</v>
      </c>
      <c r="X18" s="18"/>
      <c r="Y18" s="18"/>
      <c r="Z18" s="18"/>
      <c r="AA18" s="18"/>
      <c r="AB18" s="18"/>
      <c r="AC18" s="18"/>
    </row>
    <row r="19" spans="1:29" ht="18" customHeight="1" x14ac:dyDescent="0.25">
      <c r="A19" s="24">
        <v>46030</v>
      </c>
      <c r="B19" s="23" t="s">
        <v>69</v>
      </c>
      <c r="C19" s="23" t="s">
        <v>96</v>
      </c>
      <c r="D19" s="23" t="s">
        <v>97</v>
      </c>
      <c r="E19" s="23" t="s">
        <v>98</v>
      </c>
      <c r="F19" s="23">
        <v>11</v>
      </c>
      <c r="M19" s="29">
        <v>46030</v>
      </c>
      <c r="N19" s="30" t="s">
        <v>69</v>
      </c>
      <c r="O19" s="30" t="s">
        <v>96</v>
      </c>
      <c r="P19" s="30" t="s">
        <v>97</v>
      </c>
      <c r="Q19" s="30" t="s">
        <v>98</v>
      </c>
      <c r="R19" s="30">
        <v>11</v>
      </c>
    </row>
    <row r="20" spans="1:29" ht="18" customHeight="1" x14ac:dyDescent="0.25">
      <c r="A20" s="24">
        <v>46031</v>
      </c>
      <c r="B20" s="23" t="s">
        <v>73</v>
      </c>
      <c r="C20" s="23" t="s">
        <v>99</v>
      </c>
      <c r="D20" s="23" t="s">
        <v>100</v>
      </c>
      <c r="E20" s="23" t="s">
        <v>101</v>
      </c>
      <c r="F20" s="23">
        <v>9</v>
      </c>
      <c r="M20" s="29">
        <v>46031</v>
      </c>
      <c r="N20" s="30" t="s">
        <v>73</v>
      </c>
      <c r="O20" s="30" t="s">
        <v>99</v>
      </c>
      <c r="P20" s="30" t="s">
        <v>100</v>
      </c>
      <c r="Q20" s="30" t="s">
        <v>101</v>
      </c>
      <c r="R20" s="30">
        <v>9</v>
      </c>
    </row>
    <row r="21" spans="1:29" ht="18" customHeight="1" x14ac:dyDescent="0.25">
      <c r="A21" s="24">
        <v>46032</v>
      </c>
      <c r="B21" s="23" t="s">
        <v>80</v>
      </c>
      <c r="C21" s="23" t="s">
        <v>102</v>
      </c>
      <c r="D21" s="23" t="s">
        <v>103</v>
      </c>
      <c r="E21" s="23" t="s">
        <v>104</v>
      </c>
      <c r="F21" s="23">
        <v>16</v>
      </c>
      <c r="M21" s="29">
        <v>46032</v>
      </c>
      <c r="N21" s="30" t="s">
        <v>80</v>
      </c>
      <c r="O21" s="30" t="s">
        <v>102</v>
      </c>
      <c r="P21" s="30" t="s">
        <v>103</v>
      </c>
      <c r="Q21" s="30" t="s">
        <v>104</v>
      </c>
      <c r="R21" s="30">
        <v>16</v>
      </c>
    </row>
    <row r="22" spans="1:29" ht="18" customHeight="1" x14ac:dyDescent="0.25">
      <c r="A22" s="24">
        <v>46033</v>
      </c>
      <c r="B22" s="23" t="s">
        <v>69</v>
      </c>
      <c r="C22" s="23" t="s">
        <v>105</v>
      </c>
      <c r="D22" s="23" t="s">
        <v>71</v>
      </c>
      <c r="E22" s="23" t="s">
        <v>72</v>
      </c>
      <c r="F22" s="23">
        <v>13</v>
      </c>
      <c r="M22" s="29">
        <v>46033</v>
      </c>
      <c r="N22" s="30" t="s">
        <v>69</v>
      </c>
      <c r="O22" s="30" t="s">
        <v>105</v>
      </c>
      <c r="P22" s="30" t="s">
        <v>71</v>
      </c>
      <c r="Q22" s="30" t="s">
        <v>72</v>
      </c>
      <c r="R22" s="30">
        <v>13</v>
      </c>
    </row>
    <row r="23" spans="1:29" ht="18" customHeight="1" x14ac:dyDescent="0.25">
      <c r="A23" s="24">
        <v>46034</v>
      </c>
      <c r="B23" s="23" t="s">
        <v>73</v>
      </c>
      <c r="C23" s="23" t="s">
        <v>106</v>
      </c>
      <c r="D23" s="23" t="s">
        <v>75</v>
      </c>
      <c r="E23" s="23" t="s">
        <v>76</v>
      </c>
      <c r="F23" s="23">
        <v>17</v>
      </c>
      <c r="M23" s="29">
        <v>46034</v>
      </c>
      <c r="N23" s="30" t="s">
        <v>73</v>
      </c>
      <c r="O23" s="30" t="s">
        <v>106</v>
      </c>
      <c r="P23" s="30" t="s">
        <v>75</v>
      </c>
      <c r="Q23" s="30" t="s">
        <v>76</v>
      </c>
      <c r="R23" s="30">
        <v>17</v>
      </c>
    </row>
    <row r="24" spans="1:29" ht="18" customHeight="1" x14ac:dyDescent="0.25">
      <c r="A24" s="24">
        <v>46035</v>
      </c>
      <c r="B24" s="23" t="s">
        <v>80</v>
      </c>
      <c r="C24" s="23" t="s">
        <v>107</v>
      </c>
      <c r="D24" s="23" t="s">
        <v>78</v>
      </c>
      <c r="E24" s="23" t="s">
        <v>79</v>
      </c>
      <c r="F24" s="23">
        <v>22</v>
      </c>
      <c r="M24" s="29">
        <v>46035</v>
      </c>
      <c r="N24" s="30" t="s">
        <v>80</v>
      </c>
      <c r="O24" s="30" t="s">
        <v>107</v>
      </c>
      <c r="P24" s="30" t="s">
        <v>78</v>
      </c>
      <c r="Q24" s="30" t="s">
        <v>79</v>
      </c>
      <c r="R24" s="30">
        <v>22</v>
      </c>
    </row>
    <row r="25" spans="1:29" ht="18" customHeight="1" x14ac:dyDescent="0.25">
      <c r="A25" s="24">
        <v>46036</v>
      </c>
      <c r="B25" s="23" t="s">
        <v>69</v>
      </c>
      <c r="C25" s="23" t="s">
        <v>108</v>
      </c>
      <c r="D25" s="23" t="s">
        <v>82</v>
      </c>
      <c r="E25" s="23" t="s">
        <v>83</v>
      </c>
      <c r="F25" s="23">
        <v>7</v>
      </c>
      <c r="M25" s="29">
        <v>46036</v>
      </c>
      <c r="N25" s="30" t="s">
        <v>69</v>
      </c>
      <c r="O25" s="30" t="s">
        <v>108</v>
      </c>
      <c r="P25" s="30" t="s">
        <v>82</v>
      </c>
      <c r="Q25" s="30" t="s">
        <v>83</v>
      </c>
      <c r="R25" s="30">
        <v>7</v>
      </c>
    </row>
    <row r="26" spans="1:29" ht="18" customHeight="1" x14ac:dyDescent="0.25">
      <c r="A26" s="24">
        <v>46037</v>
      </c>
      <c r="B26" s="23" t="s">
        <v>73</v>
      </c>
      <c r="C26" s="23" t="s">
        <v>109</v>
      </c>
      <c r="D26" s="23" t="s">
        <v>85</v>
      </c>
      <c r="E26" s="23" t="s">
        <v>86</v>
      </c>
      <c r="F26" s="23">
        <v>19</v>
      </c>
      <c r="M26" s="29">
        <v>46037</v>
      </c>
      <c r="N26" s="30" t="s">
        <v>73</v>
      </c>
      <c r="O26" s="30" t="s">
        <v>109</v>
      </c>
      <c r="P26" s="30" t="s">
        <v>85</v>
      </c>
      <c r="Q26" s="30" t="s">
        <v>86</v>
      </c>
      <c r="R26" s="30">
        <v>19</v>
      </c>
    </row>
    <row r="27" spans="1:29" ht="18" customHeight="1" x14ac:dyDescent="0.25">
      <c r="A27" s="24">
        <v>46038</v>
      </c>
      <c r="B27" s="23" t="s">
        <v>69</v>
      </c>
      <c r="C27" s="23" t="s">
        <v>110</v>
      </c>
      <c r="D27" s="23" t="s">
        <v>91</v>
      </c>
      <c r="E27" s="23" t="s">
        <v>92</v>
      </c>
      <c r="F27" s="23">
        <v>21</v>
      </c>
      <c r="M27" s="29">
        <v>46038</v>
      </c>
      <c r="N27" s="30" t="s">
        <v>69</v>
      </c>
      <c r="O27" s="30" t="s">
        <v>110</v>
      </c>
      <c r="P27" s="30" t="s">
        <v>91</v>
      </c>
      <c r="Q27" s="30" t="s">
        <v>92</v>
      </c>
      <c r="R27" s="30">
        <v>21</v>
      </c>
    </row>
    <row r="28" spans="1:29" ht="18" customHeight="1" x14ac:dyDescent="0.25">
      <c r="A28" s="24">
        <v>46039</v>
      </c>
      <c r="B28" s="23" t="s">
        <v>80</v>
      </c>
      <c r="C28" s="23" t="s">
        <v>111</v>
      </c>
      <c r="D28" s="23" t="s">
        <v>94</v>
      </c>
      <c r="E28" s="23" t="s">
        <v>95</v>
      </c>
      <c r="F28" s="23">
        <v>6</v>
      </c>
      <c r="M28" s="29">
        <v>46039</v>
      </c>
      <c r="N28" s="30" t="s">
        <v>80</v>
      </c>
      <c r="O28" s="30" t="s">
        <v>111</v>
      </c>
      <c r="P28" s="30" t="s">
        <v>94</v>
      </c>
      <c r="Q28" s="30" t="s">
        <v>95</v>
      </c>
      <c r="R28" s="30">
        <v>6</v>
      </c>
    </row>
    <row r="29" spans="1:29" ht="18" customHeight="1" x14ac:dyDescent="0.25">
      <c r="A29" s="24">
        <v>46040</v>
      </c>
      <c r="B29" s="23" t="s">
        <v>69</v>
      </c>
      <c r="C29" s="23" t="s">
        <v>112</v>
      </c>
      <c r="D29" s="23" t="s">
        <v>97</v>
      </c>
      <c r="E29" s="23" t="s">
        <v>98</v>
      </c>
      <c r="F29" s="23">
        <v>15</v>
      </c>
      <c r="M29" s="29">
        <v>46040</v>
      </c>
      <c r="N29" s="30" t="s">
        <v>69</v>
      </c>
      <c r="O29" s="30" t="s">
        <v>112</v>
      </c>
      <c r="P29" s="30" t="s">
        <v>97</v>
      </c>
      <c r="Q29" s="30" t="s">
        <v>98</v>
      </c>
      <c r="R29" s="30">
        <v>15</v>
      </c>
    </row>
    <row r="30" spans="1:29" ht="18" customHeight="1" x14ac:dyDescent="0.25">
      <c r="A30" s="24">
        <v>46041</v>
      </c>
      <c r="B30" s="23" t="s">
        <v>73</v>
      </c>
      <c r="C30" s="23" t="s">
        <v>113</v>
      </c>
      <c r="D30" s="23" t="s">
        <v>100</v>
      </c>
      <c r="E30" s="23" t="s">
        <v>101</v>
      </c>
      <c r="F30" s="23">
        <v>12</v>
      </c>
      <c r="M30" s="29">
        <v>46041</v>
      </c>
      <c r="N30" s="30" t="s">
        <v>73</v>
      </c>
      <c r="O30" s="30" t="s">
        <v>113</v>
      </c>
      <c r="P30" s="30" t="s">
        <v>100</v>
      </c>
      <c r="Q30" s="30" t="s">
        <v>101</v>
      </c>
      <c r="R30" s="30">
        <v>12</v>
      </c>
    </row>
    <row r="31" spans="1:29" ht="18" customHeight="1" x14ac:dyDescent="0.25">
      <c r="A31" s="24">
        <v>46042</v>
      </c>
      <c r="B31" s="23" t="s">
        <v>80</v>
      </c>
      <c r="C31" s="23" t="s">
        <v>114</v>
      </c>
      <c r="D31" s="23" t="s">
        <v>103</v>
      </c>
      <c r="E31" s="23" t="s">
        <v>104</v>
      </c>
      <c r="F31" s="23">
        <v>10</v>
      </c>
      <c r="M31" s="29">
        <v>46042</v>
      </c>
      <c r="N31" s="30" t="s">
        <v>80</v>
      </c>
      <c r="O31" s="30" t="s">
        <v>114</v>
      </c>
      <c r="P31" s="30" t="s">
        <v>103</v>
      </c>
      <c r="Q31" s="30" t="s">
        <v>104</v>
      </c>
      <c r="R31" s="30">
        <v>10</v>
      </c>
    </row>
    <row r="32" spans="1:29" ht="18" customHeight="1" x14ac:dyDescent="0.25">
      <c r="A32" s="24">
        <v>46043</v>
      </c>
      <c r="B32" s="23" t="s">
        <v>69</v>
      </c>
      <c r="C32" s="23" t="s">
        <v>115</v>
      </c>
      <c r="D32" s="23" t="s">
        <v>71</v>
      </c>
      <c r="E32" s="23" t="s">
        <v>72</v>
      </c>
      <c r="F32" s="23">
        <v>24</v>
      </c>
      <c r="M32" s="29">
        <v>46043</v>
      </c>
      <c r="N32" s="30" t="s">
        <v>69</v>
      </c>
      <c r="O32" s="30" t="s">
        <v>115</v>
      </c>
      <c r="P32" s="30" t="s">
        <v>71</v>
      </c>
      <c r="Q32" s="30" t="s">
        <v>72</v>
      </c>
      <c r="R32" s="30">
        <v>24</v>
      </c>
    </row>
    <row r="33" spans="1:18" ht="18" customHeight="1" x14ac:dyDescent="0.25">
      <c r="A33" s="24">
        <v>46044</v>
      </c>
      <c r="B33" s="23" t="s">
        <v>73</v>
      </c>
      <c r="C33" s="23" t="s">
        <v>116</v>
      </c>
      <c r="D33" s="23" t="s">
        <v>75</v>
      </c>
      <c r="E33" s="23" t="s">
        <v>76</v>
      </c>
      <c r="F33" s="23">
        <v>14</v>
      </c>
      <c r="M33" s="29">
        <v>46044</v>
      </c>
      <c r="N33" s="30" t="s">
        <v>73</v>
      </c>
      <c r="O33" s="30" t="s">
        <v>116</v>
      </c>
      <c r="P33" s="30" t="s">
        <v>75</v>
      </c>
      <c r="Q33" s="30" t="s">
        <v>76</v>
      </c>
      <c r="R33" s="30">
        <v>14</v>
      </c>
    </row>
    <row r="34" spans="1:18" ht="18" customHeight="1" x14ac:dyDescent="0.25">
      <c r="A34" s="24">
        <v>46045</v>
      </c>
      <c r="B34" s="23" t="s">
        <v>80</v>
      </c>
      <c r="C34" s="23" t="s">
        <v>117</v>
      </c>
      <c r="D34" s="23" t="s">
        <v>78</v>
      </c>
      <c r="E34" s="23" t="s">
        <v>79</v>
      </c>
      <c r="F34" s="23">
        <v>11</v>
      </c>
      <c r="M34" s="29">
        <v>46045</v>
      </c>
      <c r="N34" s="30" t="s">
        <v>80</v>
      </c>
      <c r="O34" s="30" t="s">
        <v>117</v>
      </c>
      <c r="P34" s="30" t="s">
        <v>78</v>
      </c>
      <c r="Q34" s="30" t="s">
        <v>79</v>
      </c>
      <c r="R34" s="30">
        <v>11</v>
      </c>
    </row>
    <row r="35" spans="1:18" ht="18" customHeight="1" x14ac:dyDescent="0.25">
      <c r="A35" s="24">
        <v>46046</v>
      </c>
      <c r="B35" s="23" t="s">
        <v>69</v>
      </c>
      <c r="C35" s="23" t="s">
        <v>118</v>
      </c>
      <c r="D35" s="23" t="s">
        <v>82</v>
      </c>
      <c r="E35" s="23" t="s">
        <v>83</v>
      </c>
      <c r="F35" s="23">
        <v>18</v>
      </c>
      <c r="M35" s="29">
        <v>46046</v>
      </c>
      <c r="N35" s="30" t="s">
        <v>69</v>
      </c>
      <c r="O35" s="30" t="s">
        <v>118</v>
      </c>
      <c r="P35" s="30" t="s">
        <v>82</v>
      </c>
      <c r="Q35" s="30" t="s">
        <v>83</v>
      </c>
      <c r="R35" s="30">
        <v>18</v>
      </c>
    </row>
    <row r="36" spans="1:18" ht="18" customHeight="1" x14ac:dyDescent="0.25">
      <c r="A36" s="24">
        <v>46047</v>
      </c>
      <c r="B36" s="23" t="s">
        <v>73</v>
      </c>
      <c r="C36" s="23" t="s">
        <v>119</v>
      </c>
      <c r="D36" s="23" t="s">
        <v>85</v>
      </c>
      <c r="E36" s="23" t="s">
        <v>86</v>
      </c>
      <c r="F36" s="23">
        <v>16</v>
      </c>
      <c r="M36" s="29">
        <v>46047</v>
      </c>
      <c r="N36" s="30" t="s">
        <v>73</v>
      </c>
      <c r="O36" s="30" t="s">
        <v>119</v>
      </c>
      <c r="P36" s="30" t="s">
        <v>85</v>
      </c>
      <c r="Q36" s="30" t="s">
        <v>86</v>
      </c>
      <c r="R36" s="30">
        <v>16</v>
      </c>
    </row>
    <row r="37" spans="1:18" ht="18" customHeight="1" x14ac:dyDescent="0.25">
      <c r="A37" s="24">
        <v>46048</v>
      </c>
      <c r="B37" s="23" t="s">
        <v>69</v>
      </c>
      <c r="C37" s="23" t="s">
        <v>120</v>
      </c>
      <c r="D37" s="23" t="s">
        <v>91</v>
      </c>
      <c r="E37" s="23" t="s">
        <v>92</v>
      </c>
      <c r="F37" s="23">
        <v>20</v>
      </c>
      <c r="M37" s="29">
        <v>46048</v>
      </c>
      <c r="N37" s="30" t="s">
        <v>69</v>
      </c>
      <c r="O37" s="30" t="s">
        <v>120</v>
      </c>
      <c r="P37" s="30" t="s">
        <v>91</v>
      </c>
      <c r="Q37" s="30" t="s">
        <v>92</v>
      </c>
      <c r="R37" s="30">
        <v>20</v>
      </c>
    </row>
    <row r="38" spans="1:18" ht="18" customHeight="1" x14ac:dyDescent="0.25">
      <c r="A38" s="24">
        <v>46049</v>
      </c>
      <c r="B38" s="23" t="s">
        <v>80</v>
      </c>
      <c r="C38" s="23" t="s">
        <v>121</v>
      </c>
      <c r="D38" s="23" t="s">
        <v>94</v>
      </c>
      <c r="E38" s="23" t="s">
        <v>95</v>
      </c>
      <c r="F38" s="23">
        <v>9</v>
      </c>
      <c r="M38" s="29">
        <v>46049</v>
      </c>
      <c r="N38" s="30" t="s">
        <v>80</v>
      </c>
      <c r="O38" s="30" t="s">
        <v>121</v>
      </c>
      <c r="P38" s="30" t="s">
        <v>94</v>
      </c>
      <c r="Q38" s="30" t="s">
        <v>95</v>
      </c>
      <c r="R38" s="30">
        <v>9</v>
      </c>
    </row>
    <row r="39" spans="1:18" ht="18" customHeight="1" x14ac:dyDescent="0.25">
      <c r="A39" s="24">
        <v>46050</v>
      </c>
      <c r="B39" s="23" t="s">
        <v>69</v>
      </c>
      <c r="C39" s="23" t="s">
        <v>122</v>
      </c>
      <c r="D39" s="23" t="s">
        <v>97</v>
      </c>
      <c r="E39" s="23" t="s">
        <v>98</v>
      </c>
      <c r="F39" s="23">
        <v>13</v>
      </c>
      <c r="M39" s="29">
        <v>46050</v>
      </c>
      <c r="N39" s="30" t="s">
        <v>69</v>
      </c>
      <c r="O39" s="30" t="s">
        <v>122</v>
      </c>
      <c r="P39" s="30" t="s">
        <v>97</v>
      </c>
      <c r="Q39" s="30" t="s">
        <v>98</v>
      </c>
      <c r="R39" s="30">
        <v>13</v>
      </c>
    </row>
    <row r="40" spans="1:18" ht="18" customHeight="1" x14ac:dyDescent="0.25">
      <c r="A40" s="24">
        <v>46051</v>
      </c>
      <c r="B40" s="23" t="s">
        <v>73</v>
      </c>
      <c r="C40" s="23" t="s">
        <v>123</v>
      </c>
      <c r="D40" s="23" t="s">
        <v>100</v>
      </c>
      <c r="E40" s="23" t="s">
        <v>101</v>
      </c>
      <c r="F40" s="23">
        <v>17</v>
      </c>
      <c r="M40" s="29">
        <v>46051</v>
      </c>
      <c r="N40" s="30" t="s">
        <v>73</v>
      </c>
      <c r="O40" s="30" t="s">
        <v>123</v>
      </c>
      <c r="P40" s="30" t="s">
        <v>100</v>
      </c>
      <c r="Q40" s="30" t="s">
        <v>101</v>
      </c>
      <c r="R40" s="30">
        <v>17</v>
      </c>
    </row>
    <row r="41" spans="1:18" ht="18" customHeight="1" x14ac:dyDescent="0.25">
      <c r="A41" s="24">
        <v>46052</v>
      </c>
      <c r="B41" s="23" t="s">
        <v>80</v>
      </c>
      <c r="C41" s="23" t="s">
        <v>124</v>
      </c>
      <c r="D41" s="23" t="s">
        <v>103</v>
      </c>
      <c r="E41" s="23" t="s">
        <v>104</v>
      </c>
      <c r="F41" s="23">
        <v>8</v>
      </c>
      <c r="M41" s="29">
        <v>46052</v>
      </c>
      <c r="N41" s="30" t="s">
        <v>80</v>
      </c>
      <c r="O41" s="30" t="s">
        <v>124</v>
      </c>
      <c r="P41" s="30" t="s">
        <v>103</v>
      </c>
      <c r="Q41" s="30" t="s">
        <v>104</v>
      </c>
      <c r="R41" s="30">
        <v>8</v>
      </c>
    </row>
    <row r="42" spans="1:18" ht="18" customHeight="1" x14ac:dyDescent="0.25">
      <c r="A42" s="24">
        <v>46053</v>
      </c>
      <c r="B42" s="23" t="s">
        <v>69</v>
      </c>
      <c r="C42" s="23" t="s">
        <v>125</v>
      </c>
      <c r="D42" s="23" t="s">
        <v>71</v>
      </c>
      <c r="E42" s="23" t="s">
        <v>72</v>
      </c>
      <c r="F42" s="23">
        <v>22</v>
      </c>
      <c r="M42" s="29">
        <v>46053</v>
      </c>
      <c r="N42" s="30" t="s">
        <v>69</v>
      </c>
      <c r="O42" s="30" t="s">
        <v>125</v>
      </c>
      <c r="P42" s="30" t="s">
        <v>71</v>
      </c>
      <c r="Q42" s="30" t="s">
        <v>72</v>
      </c>
      <c r="R42" s="30">
        <v>22</v>
      </c>
    </row>
    <row r="43" spans="1:18" ht="18" customHeight="1" x14ac:dyDescent="0.25">
      <c r="A43" s="24">
        <v>46054</v>
      </c>
      <c r="B43" s="23" t="s">
        <v>73</v>
      </c>
      <c r="C43" s="23" t="s">
        <v>126</v>
      </c>
      <c r="D43" s="23" t="s">
        <v>75</v>
      </c>
      <c r="E43" s="23" t="s">
        <v>76</v>
      </c>
      <c r="F43" s="23">
        <v>15</v>
      </c>
      <c r="M43" s="29">
        <v>46054</v>
      </c>
      <c r="N43" s="30" t="s">
        <v>73</v>
      </c>
      <c r="O43" s="30" t="s">
        <v>126</v>
      </c>
      <c r="P43" s="30" t="s">
        <v>75</v>
      </c>
      <c r="Q43" s="30" t="s">
        <v>76</v>
      </c>
      <c r="R43" s="30">
        <v>15</v>
      </c>
    </row>
    <row r="44" spans="1:18" ht="18" customHeight="1" x14ac:dyDescent="0.25">
      <c r="A44" s="24">
        <v>46055</v>
      </c>
      <c r="B44" s="23" t="s">
        <v>80</v>
      </c>
      <c r="C44" s="23" t="s">
        <v>127</v>
      </c>
      <c r="D44" s="23" t="s">
        <v>78</v>
      </c>
      <c r="E44" s="23" t="s">
        <v>79</v>
      </c>
      <c r="F44" s="23">
        <v>19</v>
      </c>
      <c r="M44" s="29">
        <v>46055</v>
      </c>
      <c r="N44" s="30" t="s">
        <v>80</v>
      </c>
      <c r="O44" s="30" t="s">
        <v>127</v>
      </c>
      <c r="P44" s="30" t="s">
        <v>78</v>
      </c>
      <c r="Q44" s="30" t="s">
        <v>79</v>
      </c>
      <c r="R44" s="30">
        <v>19</v>
      </c>
    </row>
    <row r="45" spans="1:18" ht="18" customHeight="1" x14ac:dyDescent="0.25">
      <c r="A45" s="24">
        <v>46056</v>
      </c>
      <c r="B45" s="23" t="s">
        <v>69</v>
      </c>
      <c r="C45" s="23" t="s">
        <v>128</v>
      </c>
      <c r="D45" s="23" t="s">
        <v>82</v>
      </c>
      <c r="E45" s="23" t="s">
        <v>83</v>
      </c>
      <c r="F45" s="23">
        <v>10</v>
      </c>
      <c r="M45" s="29">
        <v>46056</v>
      </c>
      <c r="N45" s="30" t="s">
        <v>69</v>
      </c>
      <c r="O45" s="30" t="s">
        <v>128</v>
      </c>
      <c r="P45" s="30" t="s">
        <v>82</v>
      </c>
      <c r="Q45" s="30" t="s">
        <v>83</v>
      </c>
      <c r="R45" s="30">
        <v>10</v>
      </c>
    </row>
    <row r="46" spans="1:18" ht="18" customHeight="1" x14ac:dyDescent="0.25">
      <c r="A46" s="24">
        <v>46057</v>
      </c>
      <c r="B46" s="23" t="s">
        <v>73</v>
      </c>
      <c r="C46" s="23" t="s">
        <v>129</v>
      </c>
      <c r="D46" s="23" t="s">
        <v>85</v>
      </c>
      <c r="E46" s="23" t="s">
        <v>86</v>
      </c>
      <c r="F46" s="23">
        <v>14</v>
      </c>
      <c r="M46" s="29">
        <v>46057</v>
      </c>
      <c r="N46" s="30" t="s">
        <v>73</v>
      </c>
      <c r="O46" s="30" t="s">
        <v>129</v>
      </c>
      <c r="P46" s="30" t="s">
        <v>85</v>
      </c>
      <c r="Q46" s="30" t="s">
        <v>86</v>
      </c>
      <c r="R46" s="30">
        <v>14</v>
      </c>
    </row>
    <row r="47" spans="1:18" ht="18" customHeight="1" x14ac:dyDescent="0.25">
      <c r="A47" s="24">
        <v>46058</v>
      </c>
      <c r="B47" s="23" t="s">
        <v>69</v>
      </c>
      <c r="C47" s="23" t="s">
        <v>130</v>
      </c>
      <c r="D47" s="23" t="s">
        <v>91</v>
      </c>
      <c r="E47" s="23" t="s">
        <v>92</v>
      </c>
      <c r="F47" s="23">
        <v>23</v>
      </c>
      <c r="M47" s="29">
        <v>46058</v>
      </c>
      <c r="N47" s="30" t="s">
        <v>69</v>
      </c>
      <c r="O47" s="30" t="s">
        <v>130</v>
      </c>
      <c r="P47" s="30" t="s">
        <v>91</v>
      </c>
      <c r="Q47" s="30" t="s">
        <v>92</v>
      </c>
      <c r="R47" s="30">
        <v>23</v>
      </c>
    </row>
    <row r="48" spans="1:18" ht="18" customHeight="1" x14ac:dyDescent="0.25">
      <c r="A48" s="24">
        <v>46059</v>
      </c>
      <c r="B48" s="23" t="s">
        <v>80</v>
      </c>
      <c r="C48" s="23" t="s">
        <v>131</v>
      </c>
      <c r="D48" s="23" t="s">
        <v>94</v>
      </c>
      <c r="E48" s="23" t="s">
        <v>95</v>
      </c>
      <c r="F48" s="23">
        <v>12</v>
      </c>
      <c r="M48" s="29">
        <v>46059</v>
      </c>
      <c r="N48" s="30" t="s">
        <v>80</v>
      </c>
      <c r="O48" s="30" t="s">
        <v>131</v>
      </c>
      <c r="P48" s="30" t="s">
        <v>94</v>
      </c>
      <c r="Q48" s="30" t="s">
        <v>95</v>
      </c>
      <c r="R48" s="30">
        <v>12</v>
      </c>
    </row>
    <row r="49" spans="1:18" ht="18" customHeight="1" x14ac:dyDescent="0.25">
      <c r="A49" s="24">
        <v>46060</v>
      </c>
      <c r="B49" s="23" t="s">
        <v>69</v>
      </c>
      <c r="C49" s="23" t="s">
        <v>132</v>
      </c>
      <c r="D49" s="23" t="s">
        <v>97</v>
      </c>
      <c r="E49" s="23" t="s">
        <v>98</v>
      </c>
      <c r="F49" s="23">
        <v>16</v>
      </c>
      <c r="M49" s="29">
        <v>46060</v>
      </c>
      <c r="N49" s="30" t="s">
        <v>69</v>
      </c>
      <c r="O49" s="30" t="s">
        <v>132</v>
      </c>
      <c r="P49" s="30" t="s">
        <v>97</v>
      </c>
      <c r="Q49" s="30" t="s">
        <v>98</v>
      </c>
      <c r="R49" s="30">
        <v>16</v>
      </c>
    </row>
    <row r="50" spans="1:18" ht="18" customHeight="1" x14ac:dyDescent="0.25">
      <c r="A50" s="24">
        <v>46061</v>
      </c>
      <c r="B50" s="23" t="s">
        <v>73</v>
      </c>
      <c r="C50" s="23" t="s">
        <v>133</v>
      </c>
      <c r="D50" s="23" t="s">
        <v>100</v>
      </c>
      <c r="E50" s="23" t="s">
        <v>101</v>
      </c>
      <c r="F50" s="23">
        <v>11</v>
      </c>
      <c r="M50" s="29">
        <v>46061</v>
      </c>
      <c r="N50" s="30" t="s">
        <v>73</v>
      </c>
      <c r="O50" s="30" t="s">
        <v>133</v>
      </c>
      <c r="P50" s="30" t="s">
        <v>100</v>
      </c>
      <c r="Q50" s="30" t="s">
        <v>101</v>
      </c>
      <c r="R50" s="30">
        <v>11</v>
      </c>
    </row>
    <row r="51" spans="1:18" ht="18" customHeight="1" x14ac:dyDescent="0.25">
      <c r="A51" s="24">
        <v>46062</v>
      </c>
      <c r="B51" s="23" t="s">
        <v>80</v>
      </c>
      <c r="C51" s="23" t="s">
        <v>134</v>
      </c>
      <c r="D51" s="23" t="s">
        <v>103</v>
      </c>
      <c r="E51" s="23" t="s">
        <v>104</v>
      </c>
      <c r="F51" s="23">
        <v>18</v>
      </c>
      <c r="M51" s="29">
        <v>46062</v>
      </c>
      <c r="N51" s="30" t="s">
        <v>80</v>
      </c>
      <c r="O51" s="30" t="s">
        <v>134</v>
      </c>
      <c r="P51" s="30" t="s">
        <v>103</v>
      </c>
      <c r="Q51" s="30" t="s">
        <v>104</v>
      </c>
      <c r="R51" s="30">
        <v>18</v>
      </c>
    </row>
    <row r="52" spans="1:18" ht="18" customHeight="1" x14ac:dyDescent="0.25">
      <c r="A52" s="24">
        <v>46063</v>
      </c>
      <c r="B52" s="23" t="s">
        <v>69</v>
      </c>
      <c r="C52" s="23" t="s">
        <v>135</v>
      </c>
      <c r="D52" s="23" t="s">
        <v>71</v>
      </c>
      <c r="E52" s="23" t="s">
        <v>72</v>
      </c>
      <c r="F52" s="23">
        <v>7</v>
      </c>
      <c r="M52" s="29">
        <v>46063</v>
      </c>
      <c r="N52" s="30" t="s">
        <v>69</v>
      </c>
      <c r="O52" s="30" t="s">
        <v>135</v>
      </c>
      <c r="P52" s="30" t="s">
        <v>71</v>
      </c>
      <c r="Q52" s="30" t="s">
        <v>72</v>
      </c>
      <c r="R52" s="30">
        <v>7</v>
      </c>
    </row>
    <row r="53" spans="1:18" ht="18" customHeight="1" x14ac:dyDescent="0.25">
      <c r="A53" s="24">
        <v>46064</v>
      </c>
      <c r="B53" s="23" t="s">
        <v>73</v>
      </c>
      <c r="C53" s="23" t="s">
        <v>136</v>
      </c>
      <c r="D53" s="23" t="s">
        <v>75</v>
      </c>
      <c r="E53" s="23" t="s">
        <v>76</v>
      </c>
      <c r="F53" s="23">
        <v>20</v>
      </c>
      <c r="M53" s="29">
        <v>46064</v>
      </c>
      <c r="N53" s="30" t="s">
        <v>73</v>
      </c>
      <c r="O53" s="30" t="s">
        <v>136</v>
      </c>
      <c r="P53" s="30" t="s">
        <v>75</v>
      </c>
      <c r="Q53" s="30" t="s">
        <v>76</v>
      </c>
      <c r="R53" s="30">
        <v>20</v>
      </c>
    </row>
    <row r="54" spans="1:18" ht="18" customHeight="1" x14ac:dyDescent="0.25">
      <c r="A54" s="24">
        <v>46065</v>
      </c>
      <c r="B54" s="23" t="s">
        <v>80</v>
      </c>
      <c r="C54" s="23" t="s">
        <v>137</v>
      </c>
      <c r="D54" s="23" t="s">
        <v>78</v>
      </c>
      <c r="E54" s="23" t="s">
        <v>79</v>
      </c>
      <c r="F54" s="23">
        <v>13</v>
      </c>
      <c r="M54" s="29">
        <v>46065</v>
      </c>
      <c r="N54" s="30" t="s">
        <v>80</v>
      </c>
      <c r="O54" s="30" t="s">
        <v>137</v>
      </c>
      <c r="P54" s="30" t="s">
        <v>78</v>
      </c>
      <c r="Q54" s="30" t="s">
        <v>79</v>
      </c>
      <c r="R54" s="30">
        <v>13</v>
      </c>
    </row>
    <row r="55" spans="1:18" ht="18" customHeight="1" x14ac:dyDescent="0.25">
      <c r="A55" s="24">
        <v>46066</v>
      </c>
      <c r="B55" s="23" t="s">
        <v>69</v>
      </c>
      <c r="C55" s="23" t="s">
        <v>138</v>
      </c>
      <c r="D55" s="23" t="s">
        <v>82</v>
      </c>
      <c r="E55" s="23" t="s">
        <v>83</v>
      </c>
      <c r="F55" s="23">
        <v>17</v>
      </c>
      <c r="M55" s="29">
        <v>46066</v>
      </c>
      <c r="N55" s="30" t="s">
        <v>69</v>
      </c>
      <c r="O55" s="30" t="s">
        <v>138</v>
      </c>
      <c r="P55" s="30" t="s">
        <v>82</v>
      </c>
      <c r="Q55" s="30" t="s">
        <v>83</v>
      </c>
      <c r="R55" s="30">
        <v>17</v>
      </c>
    </row>
    <row r="56" spans="1:18" ht="18" customHeight="1" x14ac:dyDescent="0.25">
      <c r="A56" s="24">
        <v>46067</v>
      </c>
      <c r="B56" s="23" t="s">
        <v>73</v>
      </c>
      <c r="C56" s="23" t="s">
        <v>139</v>
      </c>
      <c r="D56" s="23" t="s">
        <v>85</v>
      </c>
      <c r="E56" s="23" t="s">
        <v>86</v>
      </c>
      <c r="F56" s="23">
        <v>9</v>
      </c>
      <c r="M56" s="29">
        <v>46067</v>
      </c>
      <c r="N56" s="30" t="s">
        <v>73</v>
      </c>
      <c r="O56" s="30" t="s">
        <v>139</v>
      </c>
      <c r="P56" s="30" t="s">
        <v>85</v>
      </c>
      <c r="Q56" s="30" t="s">
        <v>86</v>
      </c>
      <c r="R56" s="30">
        <v>9</v>
      </c>
    </row>
    <row r="57" spans="1:18" ht="18" customHeight="1" x14ac:dyDescent="0.25">
      <c r="A57" s="24">
        <v>46068</v>
      </c>
      <c r="B57" s="23" t="s">
        <v>69</v>
      </c>
      <c r="C57" s="23" t="s">
        <v>140</v>
      </c>
      <c r="D57" s="23" t="s">
        <v>91</v>
      </c>
      <c r="E57" s="23" t="s">
        <v>92</v>
      </c>
      <c r="F57" s="23">
        <v>21</v>
      </c>
      <c r="M57" s="29">
        <v>46068</v>
      </c>
      <c r="N57" s="30" t="s">
        <v>69</v>
      </c>
      <c r="O57" s="30" t="s">
        <v>140</v>
      </c>
      <c r="P57" s="30" t="s">
        <v>91</v>
      </c>
      <c r="Q57" s="30" t="s">
        <v>92</v>
      </c>
      <c r="R57" s="30">
        <v>21</v>
      </c>
    </row>
    <row r="58" spans="1:18" ht="18" customHeight="1" x14ac:dyDescent="0.25">
      <c r="A58" s="24">
        <v>46069</v>
      </c>
      <c r="B58" s="23" t="s">
        <v>80</v>
      </c>
      <c r="C58" s="23" t="s">
        <v>141</v>
      </c>
      <c r="D58" s="23" t="s">
        <v>94</v>
      </c>
      <c r="E58" s="23" t="s">
        <v>95</v>
      </c>
      <c r="F58" s="23">
        <v>14</v>
      </c>
      <c r="M58" s="29">
        <v>46069</v>
      </c>
      <c r="N58" s="30" t="s">
        <v>80</v>
      </c>
      <c r="O58" s="30" t="s">
        <v>141</v>
      </c>
      <c r="P58" s="30" t="s">
        <v>94</v>
      </c>
      <c r="Q58" s="30" t="s">
        <v>95</v>
      </c>
      <c r="R58" s="30">
        <v>14</v>
      </c>
    </row>
    <row r="59" spans="1:18" ht="18" customHeight="1" x14ac:dyDescent="0.25">
      <c r="A59" s="24">
        <v>46070</v>
      </c>
      <c r="B59" s="23" t="s">
        <v>69</v>
      </c>
      <c r="C59" s="23" t="s">
        <v>142</v>
      </c>
      <c r="D59" s="23" t="s">
        <v>97</v>
      </c>
      <c r="E59" s="23" t="s">
        <v>98</v>
      </c>
      <c r="F59" s="23">
        <v>10</v>
      </c>
      <c r="M59" s="29">
        <v>46070</v>
      </c>
      <c r="N59" s="30" t="s">
        <v>69</v>
      </c>
      <c r="O59" s="30" t="s">
        <v>142</v>
      </c>
      <c r="P59" s="30" t="s">
        <v>97</v>
      </c>
      <c r="Q59" s="30" t="s">
        <v>98</v>
      </c>
      <c r="R59" s="30">
        <v>10</v>
      </c>
    </row>
    <row r="60" spans="1:18" ht="18" customHeight="1" x14ac:dyDescent="0.25">
      <c r="A60" s="24">
        <v>46071</v>
      </c>
      <c r="B60" s="23" t="s">
        <v>73</v>
      </c>
      <c r="C60" s="23" t="s">
        <v>143</v>
      </c>
      <c r="D60" s="23" t="s">
        <v>100</v>
      </c>
      <c r="E60" s="23" t="s">
        <v>101</v>
      </c>
      <c r="F60" s="23">
        <v>22</v>
      </c>
      <c r="M60" s="29">
        <v>46071</v>
      </c>
      <c r="N60" s="30" t="s">
        <v>73</v>
      </c>
      <c r="O60" s="30" t="s">
        <v>143</v>
      </c>
      <c r="P60" s="30" t="s">
        <v>100</v>
      </c>
      <c r="Q60" s="30" t="s">
        <v>101</v>
      </c>
      <c r="R60" s="30">
        <v>22</v>
      </c>
    </row>
    <row r="61" spans="1:18" ht="18" customHeight="1" x14ac:dyDescent="0.25">
      <c r="A61" s="24">
        <v>46072</v>
      </c>
      <c r="B61" s="23" t="s">
        <v>80</v>
      </c>
      <c r="C61" s="23" t="s">
        <v>144</v>
      </c>
      <c r="D61" s="23" t="s">
        <v>103</v>
      </c>
      <c r="E61" s="23" t="s">
        <v>104</v>
      </c>
      <c r="F61" s="23">
        <v>15</v>
      </c>
      <c r="M61" s="29">
        <v>46072</v>
      </c>
      <c r="N61" s="30" t="s">
        <v>80</v>
      </c>
      <c r="O61" s="30" t="s">
        <v>144</v>
      </c>
      <c r="P61" s="30" t="s">
        <v>103</v>
      </c>
      <c r="Q61" s="30" t="s">
        <v>104</v>
      </c>
      <c r="R61" s="30">
        <v>15</v>
      </c>
    </row>
    <row r="62" spans="1:18" ht="18" customHeight="1" x14ac:dyDescent="0.25">
      <c r="A62" s="24">
        <v>46073</v>
      </c>
      <c r="B62" s="23" t="s">
        <v>69</v>
      </c>
      <c r="C62" s="23" t="s">
        <v>145</v>
      </c>
      <c r="D62" s="23" t="s">
        <v>71</v>
      </c>
      <c r="E62" s="23" t="s">
        <v>72</v>
      </c>
      <c r="F62" s="23">
        <v>12</v>
      </c>
      <c r="M62" s="29">
        <v>46073</v>
      </c>
      <c r="N62" s="30" t="s">
        <v>69</v>
      </c>
      <c r="O62" s="30" t="s">
        <v>145</v>
      </c>
      <c r="P62" s="30" t="s">
        <v>71</v>
      </c>
      <c r="Q62" s="30" t="s">
        <v>72</v>
      </c>
      <c r="R62" s="30">
        <v>12</v>
      </c>
    </row>
    <row r="63" spans="1:18" ht="18" customHeight="1" x14ac:dyDescent="0.25">
      <c r="A63" s="24">
        <v>46074</v>
      </c>
      <c r="B63" s="23" t="s">
        <v>73</v>
      </c>
      <c r="C63" s="23" t="s">
        <v>146</v>
      </c>
      <c r="D63" s="23" t="s">
        <v>75</v>
      </c>
      <c r="E63" s="23" t="s">
        <v>76</v>
      </c>
      <c r="F63" s="23">
        <v>18</v>
      </c>
      <c r="M63" s="29">
        <v>46074</v>
      </c>
      <c r="N63" s="30" t="s">
        <v>73</v>
      </c>
      <c r="O63" s="30" t="s">
        <v>146</v>
      </c>
      <c r="P63" s="30" t="s">
        <v>75</v>
      </c>
      <c r="Q63" s="30" t="s">
        <v>76</v>
      </c>
      <c r="R63" s="30">
        <v>18</v>
      </c>
    </row>
    <row r="64" spans="1:18" ht="18" customHeight="1" x14ac:dyDescent="0.25">
      <c r="A64" s="24">
        <v>46075</v>
      </c>
      <c r="B64" s="23" t="s">
        <v>80</v>
      </c>
      <c r="C64" s="23" t="s">
        <v>147</v>
      </c>
      <c r="D64" s="23" t="s">
        <v>78</v>
      </c>
      <c r="E64" s="23" t="s">
        <v>79</v>
      </c>
      <c r="F64" s="23">
        <v>24</v>
      </c>
      <c r="M64" s="29">
        <v>46075</v>
      </c>
      <c r="N64" s="30" t="s">
        <v>80</v>
      </c>
      <c r="O64" s="30" t="s">
        <v>147</v>
      </c>
      <c r="P64" s="30" t="s">
        <v>78</v>
      </c>
      <c r="Q64" s="30" t="s">
        <v>79</v>
      </c>
      <c r="R64" s="30">
        <v>24</v>
      </c>
    </row>
    <row r="65" spans="1:18" ht="18" customHeight="1" x14ac:dyDescent="0.25">
      <c r="A65" s="24">
        <v>46076</v>
      </c>
      <c r="B65" s="23" t="s">
        <v>69</v>
      </c>
      <c r="C65" s="23" t="s">
        <v>148</v>
      </c>
      <c r="D65" s="23" t="s">
        <v>82</v>
      </c>
      <c r="E65" s="23" t="s">
        <v>83</v>
      </c>
      <c r="F65" s="23">
        <v>8</v>
      </c>
      <c r="M65" s="29">
        <v>46076</v>
      </c>
      <c r="N65" s="30" t="s">
        <v>69</v>
      </c>
      <c r="O65" s="30" t="s">
        <v>148</v>
      </c>
      <c r="P65" s="30" t="s">
        <v>82</v>
      </c>
      <c r="Q65" s="30" t="s">
        <v>83</v>
      </c>
      <c r="R65" s="30">
        <v>8</v>
      </c>
    </row>
    <row r="66" spans="1:18" ht="18" customHeight="1" x14ac:dyDescent="0.25">
      <c r="A66" s="24">
        <v>46077</v>
      </c>
      <c r="B66" s="23" t="s">
        <v>73</v>
      </c>
      <c r="C66" s="23" t="s">
        <v>149</v>
      </c>
      <c r="D66" s="23" t="s">
        <v>85</v>
      </c>
      <c r="E66" s="23" t="s">
        <v>86</v>
      </c>
      <c r="F66" s="23">
        <v>16</v>
      </c>
      <c r="M66" s="29">
        <v>46077</v>
      </c>
      <c r="N66" s="30" t="s">
        <v>73</v>
      </c>
      <c r="O66" s="30" t="s">
        <v>149</v>
      </c>
      <c r="P66" s="30" t="s">
        <v>85</v>
      </c>
      <c r="Q66" s="30" t="s">
        <v>86</v>
      </c>
      <c r="R66" s="30">
        <v>16</v>
      </c>
    </row>
    <row r="67" spans="1:18" ht="18" customHeight="1" x14ac:dyDescent="0.25">
      <c r="A67" s="24">
        <v>46078</v>
      </c>
      <c r="B67" s="23" t="s">
        <v>69</v>
      </c>
      <c r="C67" s="23" t="s">
        <v>150</v>
      </c>
      <c r="D67" s="23" t="s">
        <v>91</v>
      </c>
      <c r="E67" s="23" t="s">
        <v>92</v>
      </c>
      <c r="F67" s="23">
        <v>19</v>
      </c>
      <c r="M67" s="29">
        <v>46078</v>
      </c>
      <c r="N67" s="30" t="s">
        <v>69</v>
      </c>
      <c r="O67" s="30" t="s">
        <v>150</v>
      </c>
      <c r="P67" s="30" t="s">
        <v>91</v>
      </c>
      <c r="Q67" s="30" t="s">
        <v>92</v>
      </c>
      <c r="R67" s="30">
        <v>19</v>
      </c>
    </row>
    <row r="68" spans="1:18" ht="18" customHeight="1" x14ac:dyDescent="0.25">
      <c r="A68" s="24">
        <v>46079</v>
      </c>
      <c r="B68" s="23" t="s">
        <v>80</v>
      </c>
      <c r="C68" s="23" t="s">
        <v>151</v>
      </c>
      <c r="D68" s="23" t="s">
        <v>94</v>
      </c>
      <c r="E68" s="23" t="s">
        <v>95</v>
      </c>
      <c r="F68" s="23">
        <v>11</v>
      </c>
      <c r="M68" s="29">
        <v>46079</v>
      </c>
      <c r="N68" s="30" t="s">
        <v>80</v>
      </c>
      <c r="O68" s="30" t="s">
        <v>151</v>
      </c>
      <c r="P68" s="30" t="s">
        <v>94</v>
      </c>
      <c r="Q68" s="30" t="s">
        <v>95</v>
      </c>
      <c r="R68" s="30">
        <v>11</v>
      </c>
    </row>
    <row r="69" spans="1:18" ht="18" customHeight="1" x14ac:dyDescent="0.25">
      <c r="A69" s="24">
        <v>46080</v>
      </c>
      <c r="B69" s="23" t="s">
        <v>69</v>
      </c>
      <c r="C69" s="23" t="s">
        <v>152</v>
      </c>
      <c r="D69" s="23" t="s">
        <v>97</v>
      </c>
      <c r="E69" s="23" t="s">
        <v>98</v>
      </c>
      <c r="F69" s="23">
        <v>14</v>
      </c>
      <c r="M69" s="29">
        <v>46080</v>
      </c>
      <c r="N69" s="30" t="s">
        <v>69</v>
      </c>
      <c r="O69" s="30" t="s">
        <v>152</v>
      </c>
      <c r="P69" s="30" t="s">
        <v>97</v>
      </c>
      <c r="Q69" s="30" t="s">
        <v>98</v>
      </c>
      <c r="R69" s="30">
        <v>14</v>
      </c>
    </row>
    <row r="70" spans="1:18" ht="18" customHeight="1" x14ac:dyDescent="0.25">
      <c r="A70" s="24">
        <v>46081</v>
      </c>
      <c r="B70" s="23" t="s">
        <v>73</v>
      </c>
      <c r="C70" s="23" t="s">
        <v>153</v>
      </c>
      <c r="D70" s="23" t="s">
        <v>100</v>
      </c>
      <c r="E70" s="23" t="s">
        <v>101</v>
      </c>
      <c r="F70" s="23">
        <v>20</v>
      </c>
      <c r="M70" s="29">
        <v>46081</v>
      </c>
      <c r="N70" s="30" t="s">
        <v>73</v>
      </c>
      <c r="O70" s="30" t="s">
        <v>153</v>
      </c>
      <c r="P70" s="30" t="s">
        <v>100</v>
      </c>
      <c r="Q70" s="30" t="s">
        <v>101</v>
      </c>
      <c r="R70" s="30">
        <v>20</v>
      </c>
    </row>
    <row r="71" spans="1:18" ht="18" customHeight="1" x14ac:dyDescent="0.25">
      <c r="A71" s="24">
        <v>46082</v>
      </c>
      <c r="B71" s="23" t="s">
        <v>80</v>
      </c>
      <c r="C71" s="23" t="s">
        <v>154</v>
      </c>
      <c r="D71" s="23" t="s">
        <v>103</v>
      </c>
      <c r="E71" s="23" t="s">
        <v>104</v>
      </c>
      <c r="F71" s="23">
        <v>13</v>
      </c>
      <c r="M71" s="29">
        <v>46082</v>
      </c>
      <c r="N71" s="30" t="s">
        <v>80</v>
      </c>
      <c r="O71" s="30" t="s">
        <v>154</v>
      </c>
      <c r="P71" s="30" t="s">
        <v>103</v>
      </c>
      <c r="Q71" s="30" t="s">
        <v>104</v>
      </c>
      <c r="R71" s="30">
        <v>13</v>
      </c>
    </row>
    <row r="72" spans="1:18" ht="18" customHeight="1" x14ac:dyDescent="0.25">
      <c r="A72" s="24">
        <v>46083</v>
      </c>
      <c r="B72" s="23" t="s">
        <v>69</v>
      </c>
      <c r="C72" s="23" t="s">
        <v>155</v>
      </c>
      <c r="D72" s="23" t="s">
        <v>71</v>
      </c>
      <c r="E72" s="23" t="s">
        <v>72</v>
      </c>
      <c r="F72" s="23">
        <v>17</v>
      </c>
      <c r="M72" s="29">
        <v>46083</v>
      </c>
      <c r="N72" s="30" t="s">
        <v>69</v>
      </c>
      <c r="O72" s="30" t="s">
        <v>155</v>
      </c>
      <c r="P72" s="30" t="s">
        <v>71</v>
      </c>
      <c r="Q72" s="30" t="s">
        <v>72</v>
      </c>
      <c r="R72" s="30">
        <v>17</v>
      </c>
    </row>
    <row r="73" spans="1:18" ht="18" customHeight="1" x14ac:dyDescent="0.25">
      <c r="A73" s="24">
        <v>46084</v>
      </c>
      <c r="B73" s="23" t="s">
        <v>73</v>
      </c>
      <c r="C73" s="23" t="s">
        <v>156</v>
      </c>
      <c r="D73" s="23" t="s">
        <v>75</v>
      </c>
      <c r="E73" s="23" t="s">
        <v>76</v>
      </c>
      <c r="F73" s="23">
        <v>9</v>
      </c>
      <c r="M73" s="29">
        <v>46084</v>
      </c>
      <c r="N73" s="30" t="s">
        <v>73</v>
      </c>
      <c r="O73" s="30" t="s">
        <v>156</v>
      </c>
      <c r="P73" s="30" t="s">
        <v>75</v>
      </c>
      <c r="Q73" s="30" t="s">
        <v>76</v>
      </c>
      <c r="R73" s="30">
        <v>9</v>
      </c>
    </row>
    <row r="74" spans="1:18" ht="18" customHeight="1" x14ac:dyDescent="0.25">
      <c r="A74" s="24">
        <v>46085</v>
      </c>
      <c r="B74" s="23" t="s">
        <v>80</v>
      </c>
      <c r="C74" s="23" t="s">
        <v>157</v>
      </c>
      <c r="D74" s="23" t="s">
        <v>78</v>
      </c>
      <c r="E74" s="23" t="s">
        <v>79</v>
      </c>
      <c r="F74" s="23">
        <v>21</v>
      </c>
      <c r="M74" s="29">
        <v>46085</v>
      </c>
      <c r="N74" s="30" t="s">
        <v>80</v>
      </c>
      <c r="O74" s="30" t="s">
        <v>157</v>
      </c>
      <c r="P74" s="30" t="s">
        <v>78</v>
      </c>
      <c r="Q74" s="30" t="s">
        <v>79</v>
      </c>
      <c r="R74" s="30">
        <v>21</v>
      </c>
    </row>
    <row r="75" spans="1:18" ht="18" customHeight="1" x14ac:dyDescent="0.25">
      <c r="A75" s="24">
        <v>46086</v>
      </c>
      <c r="B75" s="23" t="s">
        <v>69</v>
      </c>
      <c r="C75" s="23" t="s">
        <v>158</v>
      </c>
      <c r="D75" s="23" t="s">
        <v>82</v>
      </c>
      <c r="E75" s="23" t="s">
        <v>83</v>
      </c>
      <c r="F75" s="23">
        <v>12</v>
      </c>
      <c r="M75" s="29">
        <v>46086</v>
      </c>
      <c r="N75" s="30" t="s">
        <v>69</v>
      </c>
      <c r="O75" s="30" t="s">
        <v>158</v>
      </c>
      <c r="P75" s="30" t="s">
        <v>82</v>
      </c>
      <c r="Q75" s="30" t="s">
        <v>83</v>
      </c>
      <c r="R75" s="30">
        <v>12</v>
      </c>
    </row>
    <row r="76" spans="1:18" ht="18" customHeight="1" x14ac:dyDescent="0.25">
      <c r="A76" s="24">
        <v>46087</v>
      </c>
      <c r="B76" s="23" t="s">
        <v>73</v>
      </c>
      <c r="C76" s="23" t="s">
        <v>159</v>
      </c>
      <c r="D76" s="23" t="s">
        <v>85</v>
      </c>
      <c r="E76" s="23" t="s">
        <v>86</v>
      </c>
      <c r="F76" s="23">
        <v>15</v>
      </c>
      <c r="M76" s="29">
        <v>46087</v>
      </c>
      <c r="N76" s="30" t="s">
        <v>73</v>
      </c>
      <c r="O76" s="30" t="s">
        <v>159</v>
      </c>
      <c r="P76" s="30" t="s">
        <v>85</v>
      </c>
      <c r="Q76" s="30" t="s">
        <v>86</v>
      </c>
      <c r="R76" s="30">
        <v>15</v>
      </c>
    </row>
    <row r="77" spans="1:18" ht="18" customHeight="1" x14ac:dyDescent="0.25">
      <c r="A77" s="24">
        <v>46088</v>
      </c>
      <c r="B77" s="23" t="s">
        <v>69</v>
      </c>
      <c r="C77" s="23" t="s">
        <v>160</v>
      </c>
      <c r="D77" s="23" t="s">
        <v>91</v>
      </c>
      <c r="E77" s="23" t="s">
        <v>92</v>
      </c>
      <c r="F77" s="23">
        <v>18</v>
      </c>
      <c r="M77" s="29">
        <v>46088</v>
      </c>
      <c r="N77" s="30" t="s">
        <v>69</v>
      </c>
      <c r="O77" s="30" t="s">
        <v>160</v>
      </c>
      <c r="P77" s="30" t="s">
        <v>91</v>
      </c>
      <c r="Q77" s="30" t="s">
        <v>92</v>
      </c>
      <c r="R77" s="30">
        <v>18</v>
      </c>
    </row>
    <row r="78" spans="1:18" ht="18" customHeight="1" x14ac:dyDescent="0.25">
      <c r="A78" s="24">
        <v>46089</v>
      </c>
      <c r="B78" s="23" t="s">
        <v>80</v>
      </c>
      <c r="C78" s="23" t="s">
        <v>161</v>
      </c>
      <c r="D78" s="23" t="s">
        <v>94</v>
      </c>
      <c r="E78" s="23" t="s">
        <v>95</v>
      </c>
      <c r="F78" s="23">
        <v>10</v>
      </c>
      <c r="M78" s="29">
        <v>46089</v>
      </c>
      <c r="N78" s="30" t="s">
        <v>80</v>
      </c>
      <c r="O78" s="30" t="s">
        <v>161</v>
      </c>
      <c r="P78" s="30" t="s">
        <v>94</v>
      </c>
      <c r="Q78" s="30" t="s">
        <v>95</v>
      </c>
      <c r="R78" s="30">
        <v>10</v>
      </c>
    </row>
    <row r="79" spans="1:18" ht="18" customHeight="1" x14ac:dyDescent="0.25">
      <c r="A79" s="24">
        <v>46090</v>
      </c>
      <c r="B79" s="23" t="s">
        <v>69</v>
      </c>
      <c r="C79" s="23" t="s">
        <v>162</v>
      </c>
      <c r="D79" s="23" t="s">
        <v>97</v>
      </c>
      <c r="E79" s="23" t="s">
        <v>98</v>
      </c>
      <c r="F79" s="23">
        <v>23</v>
      </c>
      <c r="M79" s="29">
        <v>46090</v>
      </c>
      <c r="N79" s="30" t="s">
        <v>69</v>
      </c>
      <c r="O79" s="30" t="s">
        <v>162</v>
      </c>
      <c r="P79" s="30" t="s">
        <v>97</v>
      </c>
      <c r="Q79" s="30" t="s">
        <v>98</v>
      </c>
      <c r="R79" s="30">
        <v>23</v>
      </c>
    </row>
    <row r="80" spans="1:18" ht="18" customHeight="1" x14ac:dyDescent="0.25">
      <c r="A80" s="24">
        <v>46091</v>
      </c>
      <c r="B80" s="23" t="s">
        <v>73</v>
      </c>
      <c r="C80" s="23" t="s">
        <v>163</v>
      </c>
      <c r="D80" s="23" t="s">
        <v>100</v>
      </c>
      <c r="E80" s="23" t="s">
        <v>101</v>
      </c>
      <c r="F80" s="23">
        <v>14</v>
      </c>
      <c r="M80" s="29">
        <v>46091</v>
      </c>
      <c r="N80" s="30" t="s">
        <v>73</v>
      </c>
      <c r="O80" s="30" t="s">
        <v>163</v>
      </c>
      <c r="P80" s="30" t="s">
        <v>100</v>
      </c>
      <c r="Q80" s="30" t="s">
        <v>101</v>
      </c>
      <c r="R80" s="30">
        <v>14</v>
      </c>
    </row>
    <row r="81" spans="1:18" ht="18" customHeight="1" x14ac:dyDescent="0.25">
      <c r="A81" s="24">
        <v>46092</v>
      </c>
      <c r="B81" s="23" t="s">
        <v>80</v>
      </c>
      <c r="C81" s="23" t="s">
        <v>164</v>
      </c>
      <c r="D81" s="23" t="s">
        <v>103</v>
      </c>
      <c r="E81" s="23" t="s">
        <v>104</v>
      </c>
      <c r="F81" s="23">
        <v>16</v>
      </c>
      <c r="M81" s="29">
        <v>46092</v>
      </c>
      <c r="N81" s="30" t="s">
        <v>80</v>
      </c>
      <c r="O81" s="30" t="s">
        <v>164</v>
      </c>
      <c r="P81" s="30" t="s">
        <v>103</v>
      </c>
      <c r="Q81" s="30" t="s">
        <v>104</v>
      </c>
      <c r="R81" s="30">
        <v>16</v>
      </c>
    </row>
    <row r="82" spans="1:18" ht="18" customHeight="1" x14ac:dyDescent="0.25">
      <c r="A82" s="24">
        <v>46093</v>
      </c>
      <c r="B82" s="23" t="s">
        <v>69</v>
      </c>
      <c r="C82" s="23" t="s">
        <v>165</v>
      </c>
      <c r="D82" s="23" t="s">
        <v>71</v>
      </c>
      <c r="E82" s="23" t="s">
        <v>72</v>
      </c>
      <c r="F82" s="23">
        <v>20</v>
      </c>
      <c r="M82" s="29">
        <v>46093</v>
      </c>
      <c r="N82" s="30" t="s">
        <v>69</v>
      </c>
      <c r="O82" s="30" t="s">
        <v>165</v>
      </c>
      <c r="P82" s="30" t="s">
        <v>71</v>
      </c>
      <c r="Q82" s="30" t="s">
        <v>72</v>
      </c>
      <c r="R82" s="30">
        <v>20</v>
      </c>
    </row>
    <row r="83" spans="1:18" ht="18" customHeight="1" x14ac:dyDescent="0.25">
      <c r="A83" s="24">
        <v>46094</v>
      </c>
      <c r="B83" s="23" t="s">
        <v>73</v>
      </c>
      <c r="C83" s="23" t="s">
        <v>166</v>
      </c>
      <c r="D83" s="23" t="s">
        <v>75</v>
      </c>
      <c r="E83" s="23" t="s">
        <v>76</v>
      </c>
      <c r="F83" s="23">
        <v>11</v>
      </c>
      <c r="M83" s="29">
        <v>46094</v>
      </c>
      <c r="N83" s="30" t="s">
        <v>73</v>
      </c>
      <c r="O83" s="30" t="s">
        <v>166</v>
      </c>
      <c r="P83" s="30" t="s">
        <v>75</v>
      </c>
      <c r="Q83" s="30" t="s">
        <v>76</v>
      </c>
      <c r="R83" s="30">
        <v>11</v>
      </c>
    </row>
    <row r="84" spans="1:18" ht="18" customHeight="1" x14ac:dyDescent="0.25">
      <c r="A84" s="24">
        <v>46095</v>
      </c>
      <c r="B84" s="23" t="s">
        <v>80</v>
      </c>
      <c r="C84" s="23" t="s">
        <v>167</v>
      </c>
      <c r="D84" s="23" t="s">
        <v>78</v>
      </c>
      <c r="E84" s="23" t="s">
        <v>79</v>
      </c>
      <c r="F84" s="23">
        <v>18</v>
      </c>
      <c r="M84" s="29">
        <v>46095</v>
      </c>
      <c r="N84" s="30" t="s">
        <v>80</v>
      </c>
      <c r="O84" s="30" t="s">
        <v>167</v>
      </c>
      <c r="P84" s="30" t="s">
        <v>78</v>
      </c>
      <c r="Q84" s="30" t="s">
        <v>79</v>
      </c>
      <c r="R84" s="30">
        <v>18</v>
      </c>
    </row>
    <row r="85" spans="1:18" ht="18" customHeight="1" x14ac:dyDescent="0.25">
      <c r="A85" s="24">
        <v>46096</v>
      </c>
      <c r="B85" s="23" t="s">
        <v>69</v>
      </c>
      <c r="C85" s="23" t="s">
        <v>168</v>
      </c>
      <c r="D85" s="23" t="s">
        <v>82</v>
      </c>
      <c r="E85" s="23" t="s">
        <v>83</v>
      </c>
      <c r="F85" s="23">
        <v>13</v>
      </c>
      <c r="M85" s="29">
        <v>46096</v>
      </c>
      <c r="N85" s="30" t="s">
        <v>69</v>
      </c>
      <c r="O85" s="30" t="s">
        <v>168</v>
      </c>
      <c r="P85" s="30" t="s">
        <v>82</v>
      </c>
      <c r="Q85" s="30" t="s">
        <v>83</v>
      </c>
      <c r="R85" s="30">
        <v>13</v>
      </c>
    </row>
    <row r="86" spans="1:18" ht="18" customHeight="1" x14ac:dyDescent="0.25">
      <c r="A86" s="24">
        <v>46097</v>
      </c>
      <c r="B86" s="23" t="s">
        <v>73</v>
      </c>
      <c r="C86" s="23" t="s">
        <v>169</v>
      </c>
      <c r="D86" s="23" t="s">
        <v>85</v>
      </c>
      <c r="E86" s="23" t="s">
        <v>86</v>
      </c>
      <c r="F86" s="23">
        <v>22</v>
      </c>
      <c r="M86" s="29">
        <v>46097</v>
      </c>
      <c r="N86" s="30" t="s">
        <v>73</v>
      </c>
      <c r="O86" s="30" t="s">
        <v>169</v>
      </c>
      <c r="P86" s="30" t="s">
        <v>85</v>
      </c>
      <c r="Q86" s="30" t="s">
        <v>86</v>
      </c>
      <c r="R86" s="30">
        <v>22</v>
      </c>
    </row>
    <row r="87" spans="1:18" ht="18" customHeight="1" x14ac:dyDescent="0.25">
      <c r="A87" s="24">
        <v>46098</v>
      </c>
      <c r="B87" s="23" t="s">
        <v>69</v>
      </c>
      <c r="C87" s="23" t="s">
        <v>170</v>
      </c>
      <c r="D87" s="23" t="s">
        <v>91</v>
      </c>
      <c r="E87" s="23" t="s">
        <v>92</v>
      </c>
      <c r="F87" s="23">
        <v>15</v>
      </c>
      <c r="M87" s="29">
        <v>46098</v>
      </c>
      <c r="N87" s="30" t="s">
        <v>69</v>
      </c>
      <c r="O87" s="30" t="s">
        <v>170</v>
      </c>
      <c r="P87" s="30" t="s">
        <v>91</v>
      </c>
      <c r="Q87" s="30" t="s">
        <v>92</v>
      </c>
      <c r="R87" s="30">
        <v>15</v>
      </c>
    </row>
    <row r="88" spans="1:18" ht="18" customHeight="1" x14ac:dyDescent="0.25">
      <c r="A88" s="24">
        <v>46099</v>
      </c>
      <c r="B88" s="23" t="s">
        <v>80</v>
      </c>
      <c r="C88" s="23" t="s">
        <v>171</v>
      </c>
      <c r="D88" s="23" t="s">
        <v>94</v>
      </c>
      <c r="E88" s="23" t="s">
        <v>95</v>
      </c>
      <c r="F88" s="23">
        <v>8</v>
      </c>
      <c r="M88" s="29">
        <v>46099</v>
      </c>
      <c r="N88" s="30" t="s">
        <v>80</v>
      </c>
      <c r="O88" s="30" t="s">
        <v>171</v>
      </c>
      <c r="P88" s="30" t="s">
        <v>94</v>
      </c>
      <c r="Q88" s="30" t="s">
        <v>95</v>
      </c>
      <c r="R88" s="30">
        <v>8</v>
      </c>
    </row>
    <row r="89" spans="1:18" ht="18" customHeight="1" x14ac:dyDescent="0.25">
      <c r="A89" s="24">
        <v>46100</v>
      </c>
      <c r="B89" s="23" t="s">
        <v>69</v>
      </c>
      <c r="C89" s="23" t="s">
        <v>172</v>
      </c>
      <c r="D89" s="23" t="s">
        <v>97</v>
      </c>
      <c r="E89" s="23" t="s">
        <v>98</v>
      </c>
      <c r="F89" s="23">
        <v>19</v>
      </c>
      <c r="M89" s="29">
        <v>46100</v>
      </c>
      <c r="N89" s="30" t="s">
        <v>69</v>
      </c>
      <c r="O89" s="30" t="s">
        <v>172</v>
      </c>
      <c r="P89" s="30" t="s">
        <v>97</v>
      </c>
      <c r="Q89" s="30" t="s">
        <v>98</v>
      </c>
      <c r="R89" s="30">
        <v>19</v>
      </c>
    </row>
    <row r="90" spans="1:18" ht="18" customHeight="1" x14ac:dyDescent="0.25">
      <c r="A90" s="24">
        <v>46101</v>
      </c>
      <c r="B90" s="23" t="s">
        <v>73</v>
      </c>
      <c r="C90" s="23" t="s">
        <v>173</v>
      </c>
      <c r="D90" s="23" t="s">
        <v>100</v>
      </c>
      <c r="E90" s="23" t="s">
        <v>101</v>
      </c>
      <c r="F90" s="23">
        <v>12</v>
      </c>
      <c r="M90" s="29">
        <v>46101</v>
      </c>
      <c r="N90" s="30" t="s">
        <v>73</v>
      </c>
      <c r="O90" s="30" t="s">
        <v>173</v>
      </c>
      <c r="P90" s="30" t="s">
        <v>100</v>
      </c>
      <c r="Q90" s="30" t="s">
        <v>101</v>
      </c>
      <c r="R90" s="30">
        <v>12</v>
      </c>
    </row>
    <row r="91" spans="1:18" ht="18" customHeight="1" x14ac:dyDescent="0.25">
      <c r="A91" s="24">
        <v>46102</v>
      </c>
      <c r="B91" s="23" t="s">
        <v>80</v>
      </c>
      <c r="C91" s="23" t="s">
        <v>174</v>
      </c>
      <c r="D91" s="23" t="s">
        <v>103</v>
      </c>
      <c r="E91" s="23" t="s">
        <v>104</v>
      </c>
      <c r="F91" s="23">
        <v>17</v>
      </c>
      <c r="M91" s="29">
        <v>46102</v>
      </c>
      <c r="N91" s="30" t="s">
        <v>80</v>
      </c>
      <c r="O91" s="30" t="s">
        <v>174</v>
      </c>
      <c r="P91" s="30" t="s">
        <v>103</v>
      </c>
      <c r="Q91" s="30" t="s">
        <v>104</v>
      </c>
      <c r="R91" s="30">
        <v>17</v>
      </c>
    </row>
    <row r="92" spans="1:18" ht="18" customHeight="1" x14ac:dyDescent="0.25">
      <c r="A92" s="24">
        <v>46103</v>
      </c>
      <c r="B92" s="23" t="s">
        <v>69</v>
      </c>
      <c r="C92" s="23" t="s">
        <v>175</v>
      </c>
      <c r="D92" s="23" t="s">
        <v>71</v>
      </c>
      <c r="E92" s="23" t="s">
        <v>72</v>
      </c>
      <c r="F92" s="23">
        <v>14</v>
      </c>
      <c r="M92" s="29">
        <v>46103</v>
      </c>
      <c r="N92" s="30" t="s">
        <v>69</v>
      </c>
      <c r="O92" s="30" t="s">
        <v>175</v>
      </c>
      <c r="P92" s="30" t="s">
        <v>71</v>
      </c>
      <c r="Q92" s="30" t="s">
        <v>72</v>
      </c>
      <c r="R92" s="30">
        <v>14</v>
      </c>
    </row>
    <row r="93" spans="1:18" ht="18" customHeight="1" x14ac:dyDescent="0.25">
      <c r="A93" s="24">
        <v>46104</v>
      </c>
      <c r="B93" s="23" t="s">
        <v>73</v>
      </c>
      <c r="C93" s="23" t="s">
        <v>176</v>
      </c>
      <c r="D93" s="23" t="s">
        <v>75</v>
      </c>
      <c r="E93" s="23" t="s">
        <v>76</v>
      </c>
      <c r="F93" s="23">
        <v>21</v>
      </c>
      <c r="M93" s="29">
        <v>46104</v>
      </c>
      <c r="N93" s="30" t="s">
        <v>73</v>
      </c>
      <c r="O93" s="30" t="s">
        <v>176</v>
      </c>
      <c r="P93" s="30" t="s">
        <v>75</v>
      </c>
      <c r="Q93" s="30" t="s">
        <v>76</v>
      </c>
      <c r="R93" s="30">
        <v>21</v>
      </c>
    </row>
    <row r="94" spans="1:18" ht="18" customHeight="1" x14ac:dyDescent="0.25">
      <c r="A94" s="24">
        <v>46105</v>
      </c>
      <c r="B94" s="23" t="s">
        <v>80</v>
      </c>
      <c r="C94" s="23" t="s">
        <v>177</v>
      </c>
      <c r="D94" s="23" t="s">
        <v>78</v>
      </c>
      <c r="E94" s="23" t="s">
        <v>79</v>
      </c>
      <c r="F94" s="23">
        <v>10</v>
      </c>
      <c r="M94" s="29">
        <v>46105</v>
      </c>
      <c r="N94" s="30" t="s">
        <v>80</v>
      </c>
      <c r="O94" s="30" t="s">
        <v>177</v>
      </c>
      <c r="P94" s="30" t="s">
        <v>78</v>
      </c>
      <c r="Q94" s="30" t="s">
        <v>79</v>
      </c>
      <c r="R94" s="30">
        <v>10</v>
      </c>
    </row>
    <row r="95" spans="1:18" ht="18" customHeight="1" x14ac:dyDescent="0.25">
      <c r="A95" s="24">
        <v>46106</v>
      </c>
      <c r="B95" s="23" t="s">
        <v>69</v>
      </c>
      <c r="C95" s="23" t="s">
        <v>178</v>
      </c>
      <c r="D95" s="23" t="s">
        <v>82</v>
      </c>
      <c r="E95" s="23" t="s">
        <v>83</v>
      </c>
      <c r="F95" s="23">
        <v>16</v>
      </c>
      <c r="M95" s="29">
        <v>46106</v>
      </c>
      <c r="N95" s="30" t="s">
        <v>69</v>
      </c>
      <c r="O95" s="30" t="s">
        <v>178</v>
      </c>
      <c r="P95" s="30" t="s">
        <v>82</v>
      </c>
      <c r="Q95" s="30" t="s">
        <v>83</v>
      </c>
      <c r="R95" s="30">
        <v>16</v>
      </c>
    </row>
    <row r="96" spans="1:18" ht="18" customHeight="1" x14ac:dyDescent="0.25">
      <c r="A96" s="24">
        <v>46107</v>
      </c>
      <c r="B96" s="23" t="s">
        <v>73</v>
      </c>
      <c r="C96" s="23" t="s">
        <v>179</v>
      </c>
      <c r="D96" s="23" t="s">
        <v>85</v>
      </c>
      <c r="E96" s="23" t="s">
        <v>86</v>
      </c>
      <c r="F96" s="23">
        <v>13</v>
      </c>
      <c r="M96" s="29">
        <v>46107</v>
      </c>
      <c r="N96" s="30" t="s">
        <v>73</v>
      </c>
      <c r="O96" s="30" t="s">
        <v>179</v>
      </c>
      <c r="P96" s="30" t="s">
        <v>85</v>
      </c>
      <c r="Q96" s="30" t="s">
        <v>86</v>
      </c>
      <c r="R96" s="30">
        <v>13</v>
      </c>
    </row>
    <row r="97" spans="1:18" ht="18" customHeight="1" x14ac:dyDescent="0.25">
      <c r="A97" s="24">
        <v>46108</v>
      </c>
      <c r="B97" s="23" t="s">
        <v>69</v>
      </c>
      <c r="C97" s="23" t="s">
        <v>180</v>
      </c>
      <c r="D97" s="23" t="s">
        <v>91</v>
      </c>
      <c r="E97" s="23" t="s">
        <v>92</v>
      </c>
      <c r="F97" s="23">
        <v>24</v>
      </c>
      <c r="M97" s="29">
        <v>46108</v>
      </c>
      <c r="N97" s="30" t="s">
        <v>69</v>
      </c>
      <c r="O97" s="30" t="s">
        <v>180</v>
      </c>
      <c r="P97" s="30" t="s">
        <v>91</v>
      </c>
      <c r="Q97" s="30" t="s">
        <v>92</v>
      </c>
      <c r="R97" s="30">
        <v>24</v>
      </c>
    </row>
    <row r="98" spans="1:18" ht="18" customHeight="1" x14ac:dyDescent="0.25">
      <c r="A98" s="24">
        <v>46109</v>
      </c>
      <c r="B98" s="23" t="s">
        <v>80</v>
      </c>
      <c r="C98" s="23" t="s">
        <v>181</v>
      </c>
      <c r="D98" s="23" t="s">
        <v>94</v>
      </c>
      <c r="E98" s="23" t="s">
        <v>95</v>
      </c>
      <c r="F98" s="23">
        <v>9</v>
      </c>
      <c r="M98" s="29">
        <v>46109</v>
      </c>
      <c r="N98" s="30" t="s">
        <v>80</v>
      </c>
      <c r="O98" s="30" t="s">
        <v>181</v>
      </c>
      <c r="P98" s="30" t="s">
        <v>94</v>
      </c>
      <c r="Q98" s="30" t="s">
        <v>95</v>
      </c>
      <c r="R98" s="30">
        <v>9</v>
      </c>
    </row>
    <row r="99" spans="1:18" ht="18" customHeight="1" x14ac:dyDescent="0.25">
      <c r="A99" s="24">
        <v>46110</v>
      </c>
      <c r="B99" s="23" t="s">
        <v>69</v>
      </c>
      <c r="C99" s="23" t="s">
        <v>182</v>
      </c>
      <c r="D99" s="23" t="s">
        <v>97</v>
      </c>
      <c r="E99" s="23" t="s">
        <v>98</v>
      </c>
      <c r="F99" s="23">
        <v>15</v>
      </c>
      <c r="M99" s="29">
        <v>46110</v>
      </c>
      <c r="N99" s="30" t="s">
        <v>69</v>
      </c>
      <c r="O99" s="30" t="s">
        <v>182</v>
      </c>
      <c r="P99" s="30" t="s">
        <v>97</v>
      </c>
      <c r="Q99" s="30" t="s">
        <v>98</v>
      </c>
      <c r="R99" s="30">
        <v>15</v>
      </c>
    </row>
    <row r="100" spans="1:18" ht="18" customHeight="1" x14ac:dyDescent="0.25">
      <c r="A100" s="24">
        <v>46111</v>
      </c>
      <c r="B100" s="23" t="s">
        <v>73</v>
      </c>
      <c r="C100" s="23" t="s">
        <v>183</v>
      </c>
      <c r="D100" s="23" t="s">
        <v>100</v>
      </c>
      <c r="E100" s="23" t="s">
        <v>101</v>
      </c>
      <c r="F100" s="23">
        <v>18</v>
      </c>
      <c r="M100" s="29">
        <v>46111</v>
      </c>
      <c r="N100" s="30" t="s">
        <v>73</v>
      </c>
      <c r="O100" s="30" t="s">
        <v>183</v>
      </c>
      <c r="P100" s="30" t="s">
        <v>100</v>
      </c>
      <c r="Q100" s="30" t="s">
        <v>101</v>
      </c>
      <c r="R100" s="30">
        <v>18</v>
      </c>
    </row>
    <row r="101" spans="1:18" ht="18" customHeight="1" x14ac:dyDescent="0.25">
      <c r="A101" s="24">
        <v>46112</v>
      </c>
      <c r="B101" s="23" t="s">
        <v>80</v>
      </c>
      <c r="C101" s="23" t="s">
        <v>184</v>
      </c>
      <c r="D101" s="23" t="s">
        <v>103</v>
      </c>
      <c r="E101" s="23" t="s">
        <v>104</v>
      </c>
      <c r="F101" s="23">
        <v>11</v>
      </c>
      <c r="M101" s="29">
        <v>46112</v>
      </c>
      <c r="N101" s="30" t="s">
        <v>80</v>
      </c>
      <c r="O101" s="30" t="s">
        <v>184</v>
      </c>
      <c r="P101" s="30" t="s">
        <v>103</v>
      </c>
      <c r="Q101" s="30" t="s">
        <v>104</v>
      </c>
      <c r="R101" s="30">
        <v>11</v>
      </c>
    </row>
    <row r="102" spans="1:18" ht="18" customHeight="1" x14ac:dyDescent="0.25">
      <c r="A102" s="24">
        <v>46113</v>
      </c>
      <c r="B102" s="23" t="s">
        <v>69</v>
      </c>
      <c r="C102" s="23" t="s">
        <v>185</v>
      </c>
      <c r="D102" s="23" t="s">
        <v>71</v>
      </c>
      <c r="E102" s="23" t="s">
        <v>72</v>
      </c>
      <c r="F102" s="23">
        <v>20</v>
      </c>
      <c r="M102" s="29">
        <v>46113</v>
      </c>
      <c r="N102" s="30" t="s">
        <v>69</v>
      </c>
      <c r="O102" s="30" t="s">
        <v>185</v>
      </c>
      <c r="P102" s="30" t="s">
        <v>71</v>
      </c>
      <c r="Q102" s="30" t="s">
        <v>72</v>
      </c>
      <c r="R102" s="30">
        <v>20</v>
      </c>
    </row>
    <row r="103" spans="1:18" ht="18" customHeight="1" x14ac:dyDescent="0.25">
      <c r="A103" s="24">
        <v>46114</v>
      </c>
      <c r="B103" s="23" t="s">
        <v>73</v>
      </c>
      <c r="C103" s="23" t="s">
        <v>186</v>
      </c>
      <c r="D103" s="23" t="s">
        <v>75</v>
      </c>
      <c r="E103" s="23" t="s">
        <v>76</v>
      </c>
      <c r="F103" s="23">
        <v>14</v>
      </c>
      <c r="M103" s="29">
        <v>46114</v>
      </c>
      <c r="N103" s="30" t="s">
        <v>73</v>
      </c>
      <c r="O103" s="30" t="s">
        <v>186</v>
      </c>
      <c r="P103" s="30" t="s">
        <v>75</v>
      </c>
      <c r="Q103" s="30" t="s">
        <v>76</v>
      </c>
      <c r="R103" s="30">
        <v>14</v>
      </c>
    </row>
    <row r="104" spans="1:18" ht="18" customHeight="1" x14ac:dyDescent="0.25">
      <c r="A104" s="24">
        <v>46115</v>
      </c>
      <c r="B104" s="23" t="s">
        <v>80</v>
      </c>
      <c r="C104" s="23" t="s">
        <v>187</v>
      </c>
      <c r="D104" s="23" t="s">
        <v>78</v>
      </c>
      <c r="E104" s="23" t="s">
        <v>79</v>
      </c>
      <c r="F104" s="23">
        <v>17</v>
      </c>
      <c r="M104" s="29">
        <v>46115</v>
      </c>
      <c r="N104" s="30" t="s">
        <v>80</v>
      </c>
      <c r="O104" s="30" t="s">
        <v>187</v>
      </c>
      <c r="P104" s="30" t="s">
        <v>78</v>
      </c>
      <c r="Q104" s="30" t="s">
        <v>79</v>
      </c>
      <c r="R104" s="30">
        <v>17</v>
      </c>
    </row>
    <row r="105" spans="1:18" ht="18" customHeight="1" x14ac:dyDescent="0.25">
      <c r="A105" s="24">
        <v>46116</v>
      </c>
      <c r="B105" s="23" t="s">
        <v>69</v>
      </c>
      <c r="C105" s="23" t="s">
        <v>188</v>
      </c>
      <c r="D105" s="23" t="s">
        <v>82</v>
      </c>
      <c r="E105" s="23" t="s">
        <v>83</v>
      </c>
      <c r="F105" s="23">
        <v>12</v>
      </c>
      <c r="M105" s="29">
        <v>46116</v>
      </c>
      <c r="N105" s="30" t="s">
        <v>69</v>
      </c>
      <c r="O105" s="30" t="s">
        <v>188</v>
      </c>
      <c r="P105" s="30" t="s">
        <v>82</v>
      </c>
      <c r="Q105" s="30" t="s">
        <v>83</v>
      </c>
      <c r="R105" s="30">
        <v>12</v>
      </c>
    </row>
    <row r="106" spans="1:18" ht="18" customHeight="1" x14ac:dyDescent="0.25">
      <c r="A106" s="24">
        <v>46117</v>
      </c>
      <c r="B106" s="23" t="s">
        <v>73</v>
      </c>
      <c r="C106" s="23" t="s">
        <v>189</v>
      </c>
      <c r="D106" s="23" t="s">
        <v>85</v>
      </c>
      <c r="E106" s="23" t="s">
        <v>86</v>
      </c>
      <c r="F106" s="23">
        <v>23</v>
      </c>
      <c r="M106" s="29">
        <v>46117</v>
      </c>
      <c r="N106" s="30" t="s">
        <v>73</v>
      </c>
      <c r="O106" s="30" t="s">
        <v>189</v>
      </c>
      <c r="P106" s="30" t="s">
        <v>85</v>
      </c>
      <c r="Q106" s="30" t="s">
        <v>86</v>
      </c>
      <c r="R106" s="30">
        <v>23</v>
      </c>
    </row>
    <row r="107" spans="1:18" ht="18" customHeight="1" x14ac:dyDescent="0.25">
      <c r="A107" s="24">
        <v>46118</v>
      </c>
      <c r="B107" s="23" t="s">
        <v>69</v>
      </c>
      <c r="C107" s="23" t="s">
        <v>190</v>
      </c>
      <c r="D107" s="23" t="s">
        <v>91</v>
      </c>
      <c r="E107" s="23" t="s">
        <v>92</v>
      </c>
      <c r="F107" s="23">
        <v>16</v>
      </c>
      <c r="M107" s="29">
        <v>46118</v>
      </c>
      <c r="N107" s="30" t="s">
        <v>69</v>
      </c>
      <c r="O107" s="30" t="s">
        <v>190</v>
      </c>
      <c r="P107" s="30" t="s">
        <v>91</v>
      </c>
      <c r="Q107" s="30" t="s">
        <v>92</v>
      </c>
      <c r="R107" s="30">
        <v>16</v>
      </c>
    </row>
    <row r="108" spans="1:18" ht="18" customHeight="1" x14ac:dyDescent="0.25">
      <c r="A108" s="24">
        <v>46119</v>
      </c>
      <c r="B108" s="23" t="s">
        <v>80</v>
      </c>
      <c r="C108" s="23" t="s">
        <v>191</v>
      </c>
      <c r="D108" s="23" t="s">
        <v>94</v>
      </c>
      <c r="E108" s="23" t="s">
        <v>95</v>
      </c>
      <c r="F108" s="23">
        <v>10</v>
      </c>
      <c r="M108" s="29">
        <v>46119</v>
      </c>
      <c r="N108" s="30" t="s">
        <v>80</v>
      </c>
      <c r="O108" s="30" t="s">
        <v>191</v>
      </c>
      <c r="P108" s="30" t="s">
        <v>94</v>
      </c>
      <c r="Q108" s="30" t="s">
        <v>95</v>
      </c>
      <c r="R108" s="30">
        <v>10</v>
      </c>
    </row>
    <row r="109" spans="1:18" ht="18" customHeight="1" x14ac:dyDescent="0.25">
      <c r="A109" s="24">
        <v>46120</v>
      </c>
      <c r="B109" s="23" t="s">
        <v>69</v>
      </c>
      <c r="C109" s="23" t="s">
        <v>192</v>
      </c>
      <c r="D109" s="23" t="s">
        <v>97</v>
      </c>
      <c r="E109" s="23" t="s">
        <v>98</v>
      </c>
      <c r="F109" s="23">
        <v>18</v>
      </c>
      <c r="M109" s="29">
        <v>46120</v>
      </c>
      <c r="N109" s="30" t="s">
        <v>69</v>
      </c>
      <c r="O109" s="30" t="s">
        <v>192</v>
      </c>
      <c r="P109" s="30" t="s">
        <v>97</v>
      </c>
      <c r="Q109" s="30" t="s">
        <v>98</v>
      </c>
      <c r="R109" s="30">
        <v>18</v>
      </c>
    </row>
    <row r="110" spans="1:18" ht="18" customHeight="1" x14ac:dyDescent="0.25">
      <c r="A110" s="31">
        <v>46121</v>
      </c>
      <c r="B110" s="32" t="s">
        <v>73</v>
      </c>
      <c r="C110" s="32" t="s">
        <v>193</v>
      </c>
      <c r="D110" s="32" t="s">
        <v>100</v>
      </c>
      <c r="E110" s="32" t="s">
        <v>101</v>
      </c>
      <c r="F110" s="32">
        <v>13</v>
      </c>
      <c r="M110" s="29">
        <v>46121</v>
      </c>
      <c r="N110" s="30" t="s">
        <v>73</v>
      </c>
      <c r="O110" s="30" t="s">
        <v>193</v>
      </c>
      <c r="P110" s="30" t="s">
        <v>100</v>
      </c>
      <c r="Q110" s="30" t="s">
        <v>101</v>
      </c>
      <c r="R110" s="30">
        <v>13</v>
      </c>
    </row>
    <row r="111" spans="1:18" ht="18" customHeight="1" x14ac:dyDescent="0.25">
      <c r="A111" s="24">
        <v>46122</v>
      </c>
      <c r="B111" s="23" t="s">
        <v>80</v>
      </c>
      <c r="C111" s="23" t="s">
        <v>194</v>
      </c>
      <c r="D111" s="23" t="s">
        <v>103</v>
      </c>
      <c r="E111" s="23" t="s">
        <v>104</v>
      </c>
      <c r="F111" s="23">
        <v>21</v>
      </c>
      <c r="M111" s="29">
        <v>46122</v>
      </c>
      <c r="N111" s="30" t="s">
        <v>80</v>
      </c>
      <c r="O111" s="30" t="s">
        <v>194</v>
      </c>
      <c r="P111" s="30" t="s">
        <v>103</v>
      </c>
      <c r="Q111" s="30" t="s">
        <v>104</v>
      </c>
      <c r="R111" s="30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D16C-DB53-4444-8F92-540F68D6D0F4}">
  <dimension ref="A1:F101"/>
  <sheetViews>
    <sheetView workbookViewId="0">
      <selection activeCell="I11" sqref="I11"/>
    </sheetView>
  </sheetViews>
  <sheetFormatPr defaultRowHeight="15" x14ac:dyDescent="0.25"/>
  <sheetData>
    <row r="1" spans="1:6" ht="18.75" x14ac:dyDescent="0.3">
      <c r="A1" s="20"/>
      <c r="B1" s="20"/>
      <c r="C1" s="20"/>
      <c r="D1" s="20"/>
      <c r="E1" s="20"/>
      <c r="F1" s="20"/>
    </row>
    <row r="2" spans="1:6" x14ac:dyDescent="0.25">
      <c r="A2" s="23"/>
      <c r="B2" s="23"/>
      <c r="C2" s="23"/>
      <c r="D2" s="23"/>
      <c r="E2" s="23"/>
      <c r="F2" s="23"/>
    </row>
    <row r="3" spans="1:6" x14ac:dyDescent="0.25">
      <c r="A3" s="23"/>
      <c r="B3" s="23"/>
      <c r="C3" s="23"/>
      <c r="D3" s="23"/>
      <c r="E3" s="23"/>
      <c r="F3" s="23"/>
    </row>
    <row r="4" spans="1:6" x14ac:dyDescent="0.25">
      <c r="A4" s="23"/>
      <c r="B4" s="23"/>
      <c r="C4" s="23"/>
      <c r="D4" s="23"/>
      <c r="E4" s="23"/>
      <c r="F4" s="23"/>
    </row>
    <row r="5" spans="1:6" x14ac:dyDescent="0.25">
      <c r="A5" s="23"/>
      <c r="B5" s="23"/>
      <c r="C5" s="23"/>
      <c r="D5" s="23"/>
      <c r="E5" s="23"/>
      <c r="F5" s="23"/>
    </row>
    <row r="6" spans="1:6" x14ac:dyDescent="0.25">
      <c r="A6" s="23"/>
      <c r="B6" s="23"/>
      <c r="C6" s="23"/>
      <c r="D6" s="23"/>
      <c r="E6" s="23"/>
      <c r="F6" s="23"/>
    </row>
    <row r="7" spans="1:6" x14ac:dyDescent="0.25">
      <c r="A7" s="23"/>
      <c r="B7" s="23"/>
      <c r="C7" s="23"/>
      <c r="D7" s="23"/>
      <c r="E7" s="23"/>
      <c r="F7" s="23"/>
    </row>
    <row r="8" spans="1:6" x14ac:dyDescent="0.25">
      <c r="A8" s="23"/>
      <c r="B8" s="23"/>
      <c r="C8" s="23"/>
      <c r="D8" s="23"/>
      <c r="E8" s="23"/>
      <c r="F8" s="23"/>
    </row>
    <row r="9" spans="1:6" x14ac:dyDescent="0.25">
      <c r="A9" s="23"/>
      <c r="B9" s="23"/>
      <c r="C9" s="23"/>
      <c r="D9" s="23"/>
      <c r="E9" s="23"/>
      <c r="F9" s="23"/>
    </row>
    <row r="10" spans="1:6" x14ac:dyDescent="0.25">
      <c r="A10" s="23"/>
      <c r="B10" s="23"/>
      <c r="C10" s="23"/>
      <c r="D10" s="23"/>
      <c r="E10" s="23"/>
      <c r="F10" s="23"/>
    </row>
    <row r="11" spans="1:6" x14ac:dyDescent="0.25">
      <c r="A11" s="23"/>
      <c r="B11" s="23"/>
      <c r="C11" s="23"/>
      <c r="D11" s="23"/>
      <c r="E11" s="23"/>
      <c r="F11" s="23"/>
    </row>
    <row r="12" spans="1:6" x14ac:dyDescent="0.25">
      <c r="A12" s="23"/>
      <c r="B12" s="23"/>
      <c r="C12" s="23"/>
      <c r="D12" s="23"/>
      <c r="E12" s="23"/>
      <c r="F12" s="23"/>
    </row>
    <row r="13" spans="1:6" x14ac:dyDescent="0.25">
      <c r="A13" s="23"/>
      <c r="B13" s="23"/>
      <c r="C13" s="23"/>
      <c r="D13" s="23"/>
      <c r="E13" s="23"/>
      <c r="F13" s="23"/>
    </row>
    <row r="14" spans="1:6" x14ac:dyDescent="0.25">
      <c r="A14" s="23"/>
      <c r="B14" s="23"/>
      <c r="C14" s="23"/>
      <c r="D14" s="23"/>
      <c r="E14" s="23"/>
      <c r="F14" s="23"/>
    </row>
    <row r="15" spans="1:6" x14ac:dyDescent="0.25">
      <c r="A15" s="23"/>
      <c r="B15" s="23"/>
      <c r="C15" s="23"/>
      <c r="D15" s="23"/>
      <c r="E15" s="23"/>
      <c r="F15" s="23"/>
    </row>
    <row r="16" spans="1:6" x14ac:dyDescent="0.25">
      <c r="A16" s="23"/>
      <c r="B16" s="23"/>
      <c r="C16" s="23"/>
      <c r="D16" s="23"/>
      <c r="E16" s="23"/>
      <c r="F16" s="23"/>
    </row>
    <row r="17" spans="1:6" x14ac:dyDescent="0.25">
      <c r="A17" s="23"/>
      <c r="B17" s="23"/>
      <c r="C17" s="23"/>
      <c r="D17" s="23"/>
      <c r="E17" s="23"/>
      <c r="F17" s="23"/>
    </row>
    <row r="18" spans="1:6" x14ac:dyDescent="0.25">
      <c r="A18" s="23"/>
      <c r="B18" s="23"/>
      <c r="C18" s="23"/>
      <c r="D18" s="23"/>
      <c r="E18" s="23"/>
      <c r="F18" s="23"/>
    </row>
    <row r="19" spans="1:6" x14ac:dyDescent="0.25">
      <c r="A19" s="23"/>
      <c r="B19" s="23"/>
      <c r="C19" s="23"/>
      <c r="D19" s="23"/>
      <c r="E19" s="23"/>
      <c r="F19" s="23"/>
    </row>
    <row r="20" spans="1:6" x14ac:dyDescent="0.25">
      <c r="A20" s="23"/>
      <c r="B20" s="23"/>
      <c r="C20" s="23"/>
      <c r="D20" s="23"/>
      <c r="E20" s="23"/>
      <c r="F20" s="23"/>
    </row>
    <row r="21" spans="1:6" x14ac:dyDescent="0.25">
      <c r="A21" s="23"/>
      <c r="B21" s="23"/>
      <c r="C21" s="23"/>
      <c r="D21" s="23"/>
      <c r="E21" s="23"/>
      <c r="F21" s="23"/>
    </row>
    <row r="22" spans="1:6" x14ac:dyDescent="0.25">
      <c r="A22" s="23"/>
      <c r="B22" s="23"/>
      <c r="C22" s="23"/>
      <c r="D22" s="23"/>
      <c r="E22" s="23"/>
      <c r="F22" s="23"/>
    </row>
    <row r="23" spans="1:6" x14ac:dyDescent="0.25">
      <c r="A23" s="23"/>
      <c r="B23" s="23"/>
      <c r="C23" s="23"/>
      <c r="D23" s="23"/>
      <c r="E23" s="23"/>
      <c r="F23" s="23"/>
    </row>
    <row r="24" spans="1:6" x14ac:dyDescent="0.25">
      <c r="A24" s="23"/>
      <c r="B24" s="23"/>
      <c r="C24" s="23"/>
      <c r="D24" s="23"/>
      <c r="E24" s="23"/>
      <c r="F24" s="23"/>
    </row>
    <row r="25" spans="1:6" x14ac:dyDescent="0.25">
      <c r="A25" s="23"/>
      <c r="B25" s="23"/>
      <c r="C25" s="23"/>
      <c r="D25" s="23"/>
      <c r="E25" s="23"/>
      <c r="F25" s="23"/>
    </row>
    <row r="26" spans="1:6" x14ac:dyDescent="0.25">
      <c r="A26" s="23"/>
      <c r="B26" s="23"/>
      <c r="C26" s="23"/>
      <c r="D26" s="23"/>
      <c r="E26" s="23"/>
      <c r="F26" s="23"/>
    </row>
    <row r="27" spans="1:6" x14ac:dyDescent="0.25">
      <c r="A27" s="23"/>
      <c r="B27" s="23"/>
      <c r="C27" s="23"/>
      <c r="D27" s="23"/>
      <c r="E27" s="23"/>
      <c r="F27" s="23"/>
    </row>
    <row r="28" spans="1:6" x14ac:dyDescent="0.25">
      <c r="A28" s="23"/>
      <c r="B28" s="23"/>
      <c r="C28" s="23"/>
      <c r="D28" s="23"/>
      <c r="E28" s="23"/>
      <c r="F28" s="23"/>
    </row>
    <row r="29" spans="1:6" x14ac:dyDescent="0.25">
      <c r="A29" s="23"/>
      <c r="B29" s="23"/>
      <c r="C29" s="23"/>
      <c r="D29" s="23"/>
      <c r="E29" s="23"/>
      <c r="F29" s="23"/>
    </row>
    <row r="30" spans="1:6" x14ac:dyDescent="0.25">
      <c r="A30" s="23"/>
      <c r="B30" s="23"/>
      <c r="C30" s="23"/>
      <c r="D30" s="23"/>
      <c r="E30" s="23"/>
      <c r="F30" s="23"/>
    </row>
    <row r="31" spans="1:6" x14ac:dyDescent="0.25">
      <c r="A31" s="23"/>
      <c r="B31" s="23"/>
      <c r="C31" s="23"/>
      <c r="D31" s="23"/>
      <c r="E31" s="23"/>
      <c r="F31" s="23"/>
    </row>
    <row r="32" spans="1:6" x14ac:dyDescent="0.25">
      <c r="A32" s="23"/>
      <c r="B32" s="23"/>
      <c r="C32" s="23"/>
      <c r="D32" s="23"/>
      <c r="E32" s="23"/>
      <c r="F32" s="23"/>
    </row>
    <row r="33" spans="1:6" x14ac:dyDescent="0.25">
      <c r="A33" s="23"/>
      <c r="B33" s="23"/>
      <c r="C33" s="23"/>
      <c r="D33" s="23"/>
      <c r="E33" s="23"/>
      <c r="F33" s="23"/>
    </row>
    <row r="34" spans="1:6" x14ac:dyDescent="0.25">
      <c r="A34" s="23"/>
      <c r="B34" s="23"/>
      <c r="C34" s="23"/>
      <c r="D34" s="23"/>
      <c r="E34" s="23"/>
      <c r="F34" s="23"/>
    </row>
    <row r="35" spans="1:6" x14ac:dyDescent="0.25">
      <c r="A35" s="23"/>
      <c r="B35" s="23"/>
      <c r="C35" s="23"/>
      <c r="D35" s="23"/>
      <c r="E35" s="23"/>
      <c r="F35" s="23"/>
    </row>
    <row r="36" spans="1:6" x14ac:dyDescent="0.25">
      <c r="A36" s="23"/>
      <c r="B36" s="23"/>
      <c r="C36" s="23"/>
      <c r="D36" s="23"/>
      <c r="E36" s="23"/>
      <c r="F36" s="23"/>
    </row>
    <row r="37" spans="1:6" x14ac:dyDescent="0.25">
      <c r="A37" s="23"/>
      <c r="B37" s="23"/>
      <c r="C37" s="23"/>
      <c r="D37" s="23"/>
      <c r="E37" s="23"/>
      <c r="F37" s="23"/>
    </row>
    <row r="38" spans="1:6" x14ac:dyDescent="0.25">
      <c r="A38" s="23"/>
      <c r="B38" s="23"/>
      <c r="C38" s="23"/>
      <c r="D38" s="23"/>
      <c r="E38" s="23"/>
      <c r="F38" s="23"/>
    </row>
    <row r="39" spans="1:6" x14ac:dyDescent="0.25">
      <c r="A39" s="23"/>
      <c r="B39" s="23"/>
      <c r="C39" s="23"/>
      <c r="D39" s="23"/>
      <c r="E39" s="23"/>
      <c r="F39" s="23"/>
    </row>
    <row r="40" spans="1:6" x14ac:dyDescent="0.25">
      <c r="A40" s="23"/>
      <c r="B40" s="23"/>
      <c r="C40" s="23"/>
      <c r="D40" s="23"/>
      <c r="E40" s="23"/>
      <c r="F40" s="23"/>
    </row>
    <row r="41" spans="1:6" x14ac:dyDescent="0.25">
      <c r="A41" s="23"/>
      <c r="B41" s="23"/>
      <c r="C41" s="23"/>
      <c r="D41" s="23"/>
      <c r="E41" s="23"/>
      <c r="F41" s="23"/>
    </row>
    <row r="42" spans="1:6" x14ac:dyDescent="0.25">
      <c r="A42" s="23"/>
      <c r="B42" s="23"/>
      <c r="C42" s="23"/>
      <c r="D42" s="23"/>
      <c r="E42" s="23"/>
      <c r="F42" s="23"/>
    </row>
    <row r="43" spans="1:6" x14ac:dyDescent="0.25">
      <c r="A43" s="23"/>
      <c r="B43" s="23"/>
      <c r="C43" s="23"/>
      <c r="D43" s="23"/>
      <c r="E43" s="23"/>
      <c r="F43" s="23"/>
    </row>
    <row r="44" spans="1:6" x14ac:dyDescent="0.25">
      <c r="A44" s="23"/>
      <c r="B44" s="23"/>
      <c r="C44" s="23"/>
      <c r="D44" s="23"/>
      <c r="E44" s="23"/>
      <c r="F44" s="23"/>
    </row>
    <row r="45" spans="1:6" x14ac:dyDescent="0.25">
      <c r="A45" s="23"/>
      <c r="B45" s="23"/>
      <c r="C45" s="23"/>
      <c r="D45" s="23"/>
      <c r="E45" s="23"/>
      <c r="F45" s="23"/>
    </row>
    <row r="46" spans="1:6" x14ac:dyDescent="0.25">
      <c r="A46" s="23"/>
      <c r="B46" s="23"/>
      <c r="C46" s="23"/>
      <c r="D46" s="23"/>
      <c r="E46" s="23"/>
      <c r="F46" s="23"/>
    </row>
    <row r="47" spans="1:6" x14ac:dyDescent="0.25">
      <c r="A47" s="23"/>
      <c r="B47" s="23"/>
      <c r="C47" s="23"/>
      <c r="D47" s="23"/>
      <c r="E47" s="23"/>
      <c r="F47" s="23"/>
    </row>
    <row r="48" spans="1:6" x14ac:dyDescent="0.25">
      <c r="A48" s="23"/>
      <c r="B48" s="23"/>
      <c r="C48" s="23"/>
      <c r="D48" s="23"/>
      <c r="E48" s="23"/>
      <c r="F48" s="23"/>
    </row>
    <row r="49" spans="1:6" x14ac:dyDescent="0.25">
      <c r="A49" s="23"/>
      <c r="B49" s="23"/>
      <c r="C49" s="23"/>
      <c r="D49" s="23"/>
      <c r="E49" s="23"/>
      <c r="F49" s="23"/>
    </row>
    <row r="50" spans="1:6" x14ac:dyDescent="0.25">
      <c r="A50" s="23"/>
      <c r="B50" s="23"/>
      <c r="C50" s="23"/>
      <c r="D50" s="23"/>
      <c r="E50" s="23"/>
      <c r="F50" s="23"/>
    </row>
    <row r="51" spans="1:6" x14ac:dyDescent="0.25">
      <c r="A51" s="23"/>
      <c r="B51" s="23"/>
      <c r="C51" s="23"/>
      <c r="D51" s="23"/>
      <c r="E51" s="23"/>
      <c r="F51" s="23"/>
    </row>
    <row r="52" spans="1:6" x14ac:dyDescent="0.25">
      <c r="A52" s="23"/>
      <c r="B52" s="23"/>
      <c r="C52" s="23"/>
      <c r="D52" s="23"/>
      <c r="E52" s="23"/>
      <c r="F52" s="23"/>
    </row>
    <row r="53" spans="1:6" x14ac:dyDescent="0.25">
      <c r="A53" s="23"/>
      <c r="B53" s="23"/>
      <c r="C53" s="23"/>
      <c r="D53" s="23"/>
      <c r="E53" s="23"/>
      <c r="F53" s="23"/>
    </row>
    <row r="54" spans="1:6" x14ac:dyDescent="0.25">
      <c r="A54" s="23"/>
      <c r="B54" s="23"/>
      <c r="C54" s="23"/>
      <c r="D54" s="23"/>
      <c r="E54" s="23"/>
      <c r="F54" s="23"/>
    </row>
    <row r="55" spans="1:6" x14ac:dyDescent="0.25">
      <c r="A55" s="23"/>
      <c r="B55" s="23"/>
      <c r="C55" s="23"/>
      <c r="D55" s="23"/>
      <c r="E55" s="23"/>
      <c r="F55" s="23"/>
    </row>
    <row r="56" spans="1:6" x14ac:dyDescent="0.25">
      <c r="A56" s="23"/>
      <c r="B56" s="23"/>
      <c r="C56" s="23"/>
      <c r="D56" s="23"/>
      <c r="E56" s="23"/>
      <c r="F56" s="23"/>
    </row>
    <row r="57" spans="1:6" x14ac:dyDescent="0.25">
      <c r="A57" s="23"/>
      <c r="B57" s="23"/>
      <c r="C57" s="23"/>
      <c r="D57" s="23"/>
      <c r="E57" s="23"/>
      <c r="F57" s="23"/>
    </row>
    <row r="58" spans="1:6" x14ac:dyDescent="0.25">
      <c r="A58" s="23"/>
      <c r="B58" s="23"/>
      <c r="C58" s="23"/>
      <c r="D58" s="23"/>
      <c r="E58" s="23"/>
      <c r="F58" s="23"/>
    </row>
    <row r="59" spans="1:6" x14ac:dyDescent="0.25">
      <c r="A59" s="23"/>
      <c r="B59" s="23"/>
      <c r="C59" s="23"/>
      <c r="D59" s="23"/>
      <c r="E59" s="23"/>
      <c r="F59" s="23"/>
    </row>
    <row r="60" spans="1:6" x14ac:dyDescent="0.25">
      <c r="A60" s="23"/>
      <c r="B60" s="23"/>
      <c r="C60" s="23"/>
      <c r="D60" s="23"/>
      <c r="E60" s="23"/>
      <c r="F60" s="23"/>
    </row>
    <row r="61" spans="1:6" x14ac:dyDescent="0.25">
      <c r="A61" s="23"/>
      <c r="B61" s="23"/>
      <c r="C61" s="23"/>
      <c r="D61" s="23"/>
      <c r="E61" s="23"/>
      <c r="F61" s="23"/>
    </row>
    <row r="62" spans="1:6" x14ac:dyDescent="0.25">
      <c r="A62" s="23"/>
      <c r="B62" s="23"/>
      <c r="C62" s="23"/>
      <c r="D62" s="23"/>
      <c r="E62" s="23"/>
      <c r="F62" s="23"/>
    </row>
    <row r="63" spans="1:6" x14ac:dyDescent="0.25">
      <c r="A63" s="23"/>
      <c r="B63" s="23"/>
      <c r="C63" s="23"/>
      <c r="D63" s="23"/>
      <c r="E63" s="23"/>
      <c r="F63" s="23"/>
    </row>
    <row r="64" spans="1:6" x14ac:dyDescent="0.25">
      <c r="A64" s="23"/>
      <c r="B64" s="23"/>
      <c r="C64" s="23"/>
      <c r="D64" s="23"/>
      <c r="E64" s="23"/>
      <c r="F64" s="23"/>
    </row>
    <row r="65" spans="1:6" x14ac:dyDescent="0.25">
      <c r="A65" s="23"/>
      <c r="B65" s="23"/>
      <c r="C65" s="23"/>
      <c r="D65" s="23"/>
      <c r="E65" s="23"/>
      <c r="F65" s="23"/>
    </row>
    <row r="66" spans="1:6" x14ac:dyDescent="0.25">
      <c r="A66" s="23"/>
      <c r="B66" s="23"/>
      <c r="C66" s="23"/>
      <c r="D66" s="23"/>
      <c r="E66" s="23"/>
      <c r="F66" s="23"/>
    </row>
    <row r="67" spans="1:6" x14ac:dyDescent="0.25">
      <c r="A67" s="23"/>
      <c r="B67" s="23"/>
      <c r="C67" s="23"/>
      <c r="D67" s="23"/>
      <c r="E67" s="23"/>
      <c r="F67" s="23"/>
    </row>
    <row r="68" spans="1:6" x14ac:dyDescent="0.25">
      <c r="A68" s="23"/>
      <c r="B68" s="23"/>
      <c r="C68" s="23"/>
      <c r="D68" s="23"/>
      <c r="E68" s="23"/>
      <c r="F68" s="23"/>
    </row>
    <row r="69" spans="1:6" x14ac:dyDescent="0.25">
      <c r="A69" s="23"/>
      <c r="B69" s="23"/>
      <c r="C69" s="23"/>
      <c r="D69" s="23"/>
      <c r="E69" s="23"/>
      <c r="F69" s="23"/>
    </row>
    <row r="70" spans="1:6" x14ac:dyDescent="0.25">
      <c r="A70" s="23"/>
      <c r="B70" s="23"/>
      <c r="C70" s="23"/>
      <c r="D70" s="23"/>
      <c r="E70" s="23"/>
      <c r="F70" s="23"/>
    </row>
    <row r="71" spans="1:6" x14ac:dyDescent="0.25">
      <c r="A71" s="23"/>
      <c r="B71" s="23"/>
      <c r="C71" s="23"/>
      <c r="D71" s="23"/>
      <c r="E71" s="23"/>
      <c r="F71" s="23"/>
    </row>
    <row r="72" spans="1:6" x14ac:dyDescent="0.25">
      <c r="A72" s="23"/>
      <c r="B72" s="23"/>
      <c r="C72" s="23"/>
      <c r="D72" s="23"/>
      <c r="E72" s="23"/>
      <c r="F72" s="23"/>
    </row>
    <row r="73" spans="1:6" x14ac:dyDescent="0.25">
      <c r="A73" s="23"/>
      <c r="B73" s="23"/>
      <c r="C73" s="23"/>
      <c r="D73" s="23"/>
      <c r="E73" s="23"/>
      <c r="F73" s="23"/>
    </row>
    <row r="74" spans="1:6" x14ac:dyDescent="0.25">
      <c r="A74" s="23"/>
      <c r="B74" s="23"/>
      <c r="C74" s="23"/>
      <c r="D74" s="23"/>
      <c r="E74" s="23"/>
      <c r="F74" s="23"/>
    </row>
    <row r="75" spans="1:6" x14ac:dyDescent="0.25">
      <c r="A75" s="23"/>
      <c r="B75" s="23"/>
      <c r="C75" s="23"/>
      <c r="D75" s="23"/>
      <c r="E75" s="23"/>
      <c r="F75" s="23"/>
    </row>
    <row r="76" spans="1:6" x14ac:dyDescent="0.25">
      <c r="A76" s="23"/>
      <c r="B76" s="23"/>
      <c r="C76" s="23"/>
      <c r="D76" s="23"/>
      <c r="E76" s="23"/>
      <c r="F76" s="23"/>
    </row>
    <row r="77" spans="1:6" x14ac:dyDescent="0.25">
      <c r="A77" s="23"/>
      <c r="B77" s="23"/>
      <c r="C77" s="23"/>
      <c r="D77" s="23"/>
      <c r="E77" s="23"/>
      <c r="F77" s="23"/>
    </row>
    <row r="78" spans="1:6" x14ac:dyDescent="0.25">
      <c r="A78" s="23"/>
      <c r="B78" s="23"/>
      <c r="C78" s="23"/>
      <c r="D78" s="23"/>
      <c r="E78" s="23"/>
      <c r="F78" s="23"/>
    </row>
    <row r="79" spans="1:6" x14ac:dyDescent="0.25">
      <c r="A79" s="23"/>
      <c r="B79" s="23"/>
      <c r="C79" s="23"/>
      <c r="D79" s="23"/>
      <c r="E79" s="23"/>
      <c r="F79" s="23"/>
    </row>
    <row r="80" spans="1:6" x14ac:dyDescent="0.25">
      <c r="A80" s="23"/>
      <c r="B80" s="23"/>
      <c r="C80" s="23"/>
      <c r="D80" s="23"/>
      <c r="E80" s="23"/>
      <c r="F80" s="23"/>
    </row>
    <row r="81" spans="1:6" x14ac:dyDescent="0.25">
      <c r="A81" s="23"/>
      <c r="B81" s="23"/>
      <c r="C81" s="23"/>
      <c r="D81" s="23"/>
      <c r="E81" s="23"/>
      <c r="F81" s="23"/>
    </row>
    <row r="82" spans="1:6" x14ac:dyDescent="0.25">
      <c r="A82" s="23"/>
      <c r="B82" s="23"/>
      <c r="C82" s="23"/>
      <c r="D82" s="23"/>
      <c r="E82" s="23"/>
      <c r="F82" s="23"/>
    </row>
    <row r="83" spans="1:6" x14ac:dyDescent="0.25">
      <c r="A83" s="23"/>
      <c r="B83" s="23"/>
      <c r="C83" s="23"/>
      <c r="D83" s="23"/>
      <c r="E83" s="23"/>
      <c r="F83" s="23"/>
    </row>
    <row r="84" spans="1:6" x14ac:dyDescent="0.25">
      <c r="A84" s="23"/>
      <c r="B84" s="23"/>
      <c r="C84" s="23"/>
      <c r="D84" s="23"/>
      <c r="E84" s="23"/>
      <c r="F84" s="23"/>
    </row>
    <row r="85" spans="1:6" x14ac:dyDescent="0.25">
      <c r="A85" s="23"/>
      <c r="B85" s="23"/>
      <c r="C85" s="23"/>
      <c r="D85" s="23"/>
      <c r="E85" s="23"/>
      <c r="F85" s="23"/>
    </row>
    <row r="86" spans="1:6" x14ac:dyDescent="0.25">
      <c r="A86" s="23"/>
      <c r="B86" s="23"/>
      <c r="C86" s="23"/>
      <c r="D86" s="23"/>
      <c r="E86" s="23"/>
      <c r="F86" s="23"/>
    </row>
    <row r="87" spans="1:6" x14ac:dyDescent="0.25">
      <c r="A87" s="23"/>
      <c r="B87" s="23"/>
      <c r="C87" s="23"/>
      <c r="D87" s="23"/>
      <c r="E87" s="23"/>
      <c r="F87" s="23"/>
    </row>
    <row r="88" spans="1:6" x14ac:dyDescent="0.25">
      <c r="A88" s="23"/>
      <c r="B88" s="23"/>
      <c r="C88" s="23"/>
      <c r="D88" s="23"/>
      <c r="E88" s="23"/>
      <c r="F88" s="23"/>
    </row>
    <row r="89" spans="1:6" x14ac:dyDescent="0.25">
      <c r="A89" s="23"/>
      <c r="B89" s="23"/>
      <c r="C89" s="23"/>
      <c r="D89" s="23"/>
      <c r="E89" s="23"/>
      <c r="F89" s="23"/>
    </row>
    <row r="90" spans="1:6" x14ac:dyDescent="0.25">
      <c r="A90" s="23"/>
      <c r="B90" s="23"/>
      <c r="C90" s="23"/>
      <c r="D90" s="23"/>
      <c r="E90" s="23"/>
      <c r="F90" s="23"/>
    </row>
    <row r="91" spans="1:6" x14ac:dyDescent="0.25">
      <c r="A91" s="23"/>
      <c r="B91" s="23"/>
      <c r="C91" s="23"/>
      <c r="D91" s="23"/>
      <c r="E91" s="23"/>
      <c r="F91" s="23"/>
    </row>
    <row r="92" spans="1:6" x14ac:dyDescent="0.25">
      <c r="A92" s="23"/>
      <c r="B92" s="23"/>
      <c r="C92" s="23"/>
      <c r="D92" s="23"/>
      <c r="E92" s="23"/>
      <c r="F92" s="23"/>
    </row>
    <row r="93" spans="1:6" x14ac:dyDescent="0.25">
      <c r="A93" s="23"/>
      <c r="B93" s="23"/>
      <c r="C93" s="23"/>
      <c r="D93" s="23"/>
      <c r="E93" s="23"/>
      <c r="F93" s="23"/>
    </row>
    <row r="94" spans="1:6" x14ac:dyDescent="0.25">
      <c r="A94" s="23"/>
      <c r="B94" s="23"/>
      <c r="C94" s="23"/>
      <c r="D94" s="23"/>
      <c r="E94" s="23"/>
      <c r="F94" s="23"/>
    </row>
    <row r="95" spans="1:6" x14ac:dyDescent="0.25">
      <c r="A95" s="23"/>
      <c r="B95" s="23"/>
      <c r="C95" s="23"/>
      <c r="D95" s="23"/>
      <c r="E95" s="23"/>
      <c r="F95" s="23"/>
    </row>
    <row r="96" spans="1:6" x14ac:dyDescent="0.25">
      <c r="A96" s="23"/>
      <c r="B96" s="23"/>
      <c r="C96" s="23"/>
      <c r="D96" s="23"/>
      <c r="E96" s="23"/>
      <c r="F96" s="23"/>
    </row>
    <row r="97" spans="1:6" x14ac:dyDescent="0.25">
      <c r="A97" s="23"/>
      <c r="B97" s="23"/>
      <c r="C97" s="23"/>
      <c r="D97" s="23"/>
      <c r="E97" s="23"/>
      <c r="F97" s="23"/>
    </row>
    <row r="98" spans="1:6" x14ac:dyDescent="0.25">
      <c r="A98" s="23"/>
      <c r="B98" s="23"/>
      <c r="C98" s="23"/>
      <c r="D98" s="23"/>
      <c r="E98" s="23"/>
      <c r="F98" s="23"/>
    </row>
    <row r="99" spans="1:6" x14ac:dyDescent="0.25">
      <c r="A99" s="23"/>
      <c r="B99" s="23"/>
      <c r="C99" s="23"/>
      <c r="D99" s="23"/>
      <c r="E99" s="23"/>
      <c r="F99" s="23"/>
    </row>
    <row r="100" spans="1:6" x14ac:dyDescent="0.25">
      <c r="A100" s="23"/>
      <c r="B100" s="23"/>
      <c r="C100" s="23"/>
      <c r="D100" s="23"/>
      <c r="E100" s="23"/>
      <c r="F100" s="23"/>
    </row>
    <row r="101" spans="1:6" x14ac:dyDescent="0.25">
      <c r="A101" s="23"/>
      <c r="B101" s="23"/>
      <c r="C101" s="23"/>
      <c r="D101" s="23"/>
      <c r="E101" s="23"/>
      <c r="F101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F906-61C7-4B91-BDC6-F7EC3D4822FC}">
  <dimension ref="A1:F103"/>
  <sheetViews>
    <sheetView workbookViewId="0">
      <selection activeCell="I11" sqref="I11"/>
    </sheetView>
  </sheetViews>
  <sheetFormatPr defaultRowHeight="15" x14ac:dyDescent="0.25"/>
  <cols>
    <col min="1" max="1" width="21.28515625" customWidth="1"/>
    <col min="2" max="2" width="15.85546875" customWidth="1"/>
    <col min="3" max="3" width="14.28515625" customWidth="1"/>
    <col min="4" max="4" width="19" customWidth="1"/>
    <col min="5" max="5" width="21.28515625" customWidth="1"/>
    <col min="6" max="6" width="11.28515625" customWidth="1"/>
  </cols>
  <sheetData>
    <row r="1" spans="1:6" ht="18.75" x14ac:dyDescent="0.3">
      <c r="A1" s="19" t="s">
        <v>63</v>
      </c>
      <c r="B1" s="20" t="s">
        <v>64</v>
      </c>
      <c r="C1" s="20" t="s">
        <v>65</v>
      </c>
      <c r="D1" s="20" t="s">
        <v>66</v>
      </c>
      <c r="E1" s="20" t="s">
        <v>67</v>
      </c>
      <c r="F1" s="20" t="s">
        <v>68</v>
      </c>
    </row>
    <row r="2" spans="1:6" x14ac:dyDescent="0.25">
      <c r="A2" s="24">
        <v>46023</v>
      </c>
      <c r="B2" s="23" t="s">
        <v>69</v>
      </c>
      <c r="C2" s="23" t="s">
        <v>70</v>
      </c>
      <c r="D2" s="23" t="s">
        <v>71</v>
      </c>
      <c r="E2" s="23" t="s">
        <v>72</v>
      </c>
      <c r="F2" s="23">
        <v>15</v>
      </c>
    </row>
    <row r="3" spans="1:6" x14ac:dyDescent="0.25">
      <c r="A3" s="24"/>
      <c r="B3" s="23" t="s">
        <v>197</v>
      </c>
      <c r="C3" s="23"/>
      <c r="D3" s="23"/>
      <c r="E3" s="23"/>
      <c r="F3" s="23"/>
    </row>
    <row r="4" spans="1:6" x14ac:dyDescent="0.25">
      <c r="A4" s="24"/>
      <c r="B4" s="23" t="s">
        <v>198</v>
      </c>
      <c r="C4" s="23"/>
      <c r="D4" s="23"/>
      <c r="E4" s="23"/>
      <c r="F4" s="23"/>
    </row>
    <row r="5" spans="1:6" x14ac:dyDescent="0.25">
      <c r="A5" s="24">
        <v>46024</v>
      </c>
      <c r="B5" s="23" t="s">
        <v>73</v>
      </c>
      <c r="C5" s="23" t="s">
        <v>74</v>
      </c>
      <c r="D5" s="23" t="s">
        <v>75</v>
      </c>
      <c r="E5" s="23" t="s">
        <v>76</v>
      </c>
      <c r="F5" s="23">
        <v>10</v>
      </c>
    </row>
    <row r="6" spans="1:6" x14ac:dyDescent="0.25">
      <c r="A6" s="24">
        <v>46025</v>
      </c>
      <c r="B6" s="23" t="s">
        <v>80</v>
      </c>
      <c r="C6" s="23" t="s">
        <v>87</v>
      </c>
      <c r="D6" s="23" t="s">
        <v>78</v>
      </c>
      <c r="E6" s="23" t="s">
        <v>79</v>
      </c>
      <c r="F6" s="23">
        <v>20</v>
      </c>
    </row>
    <row r="7" spans="1:6" x14ac:dyDescent="0.25">
      <c r="A7" s="24">
        <v>46026</v>
      </c>
      <c r="B7" s="23" t="s">
        <v>69</v>
      </c>
      <c r="C7" s="23" t="s">
        <v>88</v>
      </c>
      <c r="D7" s="23" t="s">
        <v>82</v>
      </c>
      <c r="E7" s="23" t="s">
        <v>83</v>
      </c>
      <c r="F7" s="23">
        <v>12</v>
      </c>
    </row>
    <row r="8" spans="1:6" x14ac:dyDescent="0.25">
      <c r="A8" s="24">
        <v>46027</v>
      </c>
      <c r="B8" s="23" t="s">
        <v>73</v>
      </c>
      <c r="C8" s="23" t="s">
        <v>89</v>
      </c>
      <c r="D8" s="23" t="s">
        <v>85</v>
      </c>
      <c r="E8" s="23" t="s">
        <v>86</v>
      </c>
      <c r="F8" s="23">
        <v>8</v>
      </c>
    </row>
    <row r="9" spans="1:6" x14ac:dyDescent="0.25">
      <c r="A9" s="24">
        <v>46028</v>
      </c>
      <c r="B9" s="23" t="s">
        <v>69</v>
      </c>
      <c r="C9" s="23" t="s">
        <v>90</v>
      </c>
      <c r="D9" s="23" t="s">
        <v>91</v>
      </c>
      <c r="E9" s="23" t="s">
        <v>92</v>
      </c>
      <c r="F9" s="23">
        <v>18</v>
      </c>
    </row>
    <row r="10" spans="1:6" x14ac:dyDescent="0.25">
      <c r="A10" s="24">
        <v>46029</v>
      </c>
      <c r="B10" s="23" t="s">
        <v>80</v>
      </c>
      <c r="C10" s="23" t="s">
        <v>93</v>
      </c>
      <c r="D10" s="23" t="s">
        <v>94</v>
      </c>
      <c r="E10" s="23" t="s">
        <v>95</v>
      </c>
      <c r="F10" s="23">
        <v>14</v>
      </c>
    </row>
    <row r="11" spans="1:6" x14ac:dyDescent="0.25">
      <c r="A11" s="24">
        <v>46030</v>
      </c>
      <c r="B11" s="23" t="s">
        <v>69</v>
      </c>
      <c r="C11" s="23" t="s">
        <v>96</v>
      </c>
      <c r="D11" s="23" t="s">
        <v>97</v>
      </c>
      <c r="E11" s="23" t="s">
        <v>98</v>
      </c>
      <c r="F11" s="23">
        <v>11</v>
      </c>
    </row>
    <row r="12" spans="1:6" x14ac:dyDescent="0.25">
      <c r="A12" s="24">
        <v>46031</v>
      </c>
      <c r="B12" s="23" t="s">
        <v>73</v>
      </c>
      <c r="C12" s="23" t="s">
        <v>99</v>
      </c>
      <c r="D12" s="23" t="s">
        <v>100</v>
      </c>
      <c r="E12" s="23" t="s">
        <v>101</v>
      </c>
      <c r="F12" s="23">
        <v>9</v>
      </c>
    </row>
    <row r="13" spans="1:6" x14ac:dyDescent="0.25">
      <c r="A13" s="24">
        <v>46032</v>
      </c>
      <c r="B13" s="23" t="s">
        <v>80</v>
      </c>
      <c r="C13" s="23" t="s">
        <v>102</v>
      </c>
      <c r="D13" s="23" t="s">
        <v>103</v>
      </c>
      <c r="E13" s="23" t="s">
        <v>104</v>
      </c>
      <c r="F13" s="23">
        <v>16</v>
      </c>
    </row>
    <row r="14" spans="1:6" x14ac:dyDescent="0.25">
      <c r="A14" s="24">
        <v>46033</v>
      </c>
      <c r="B14" s="23" t="s">
        <v>69</v>
      </c>
      <c r="C14" s="23" t="s">
        <v>105</v>
      </c>
      <c r="D14" s="23" t="s">
        <v>71</v>
      </c>
      <c r="E14" s="23" t="s">
        <v>72</v>
      </c>
      <c r="F14" s="23">
        <v>13</v>
      </c>
    </row>
    <row r="15" spans="1:6" x14ac:dyDescent="0.25">
      <c r="A15" s="24">
        <v>46034</v>
      </c>
      <c r="B15" s="23" t="s">
        <v>73</v>
      </c>
      <c r="C15" s="23" t="s">
        <v>106</v>
      </c>
      <c r="D15" s="23" t="s">
        <v>75</v>
      </c>
      <c r="E15" s="23" t="s">
        <v>76</v>
      </c>
      <c r="F15" s="23">
        <v>17</v>
      </c>
    </row>
    <row r="16" spans="1:6" x14ac:dyDescent="0.25">
      <c r="A16" s="24">
        <v>46035</v>
      </c>
      <c r="B16" s="23" t="s">
        <v>80</v>
      </c>
      <c r="C16" s="23" t="s">
        <v>107</v>
      </c>
      <c r="D16" s="23" t="s">
        <v>78</v>
      </c>
      <c r="E16" s="23" t="s">
        <v>79</v>
      </c>
      <c r="F16" s="23">
        <v>22</v>
      </c>
    </row>
    <row r="17" spans="1:6" x14ac:dyDescent="0.25">
      <c r="A17" s="24">
        <v>46036</v>
      </c>
      <c r="B17" s="23" t="s">
        <v>69</v>
      </c>
      <c r="C17" s="23" t="s">
        <v>108</v>
      </c>
      <c r="D17" s="23" t="s">
        <v>82</v>
      </c>
      <c r="E17" s="23" t="s">
        <v>83</v>
      </c>
      <c r="F17" s="23">
        <v>7</v>
      </c>
    </row>
    <row r="18" spans="1:6" x14ac:dyDescent="0.25">
      <c r="A18" s="24">
        <v>46037</v>
      </c>
      <c r="B18" s="23" t="s">
        <v>73</v>
      </c>
      <c r="C18" s="23" t="s">
        <v>109</v>
      </c>
      <c r="D18" s="23" t="s">
        <v>85</v>
      </c>
      <c r="E18" s="23" t="s">
        <v>86</v>
      </c>
      <c r="F18" s="23">
        <v>19</v>
      </c>
    </row>
    <row r="19" spans="1:6" x14ac:dyDescent="0.25">
      <c r="A19" s="24">
        <v>46038</v>
      </c>
      <c r="B19" s="23" t="s">
        <v>69</v>
      </c>
      <c r="C19" s="23" t="s">
        <v>110</v>
      </c>
      <c r="D19" s="23" t="s">
        <v>91</v>
      </c>
      <c r="E19" s="23" t="s">
        <v>92</v>
      </c>
      <c r="F19" s="23">
        <v>21</v>
      </c>
    </row>
    <row r="20" spans="1:6" x14ac:dyDescent="0.25">
      <c r="A20" s="24">
        <v>46039</v>
      </c>
      <c r="B20" s="23" t="s">
        <v>80</v>
      </c>
      <c r="C20" s="23" t="s">
        <v>111</v>
      </c>
      <c r="D20" s="23" t="s">
        <v>94</v>
      </c>
      <c r="E20" s="23" t="s">
        <v>95</v>
      </c>
      <c r="F20" s="23">
        <v>6</v>
      </c>
    </row>
    <row r="21" spans="1:6" x14ac:dyDescent="0.25">
      <c r="A21" s="24">
        <v>46040</v>
      </c>
      <c r="B21" s="23" t="s">
        <v>69</v>
      </c>
      <c r="C21" s="23" t="s">
        <v>112</v>
      </c>
      <c r="D21" s="23" t="s">
        <v>97</v>
      </c>
      <c r="E21" s="23" t="s">
        <v>98</v>
      </c>
      <c r="F21" s="23">
        <v>15</v>
      </c>
    </row>
    <row r="22" spans="1:6" x14ac:dyDescent="0.25">
      <c r="A22" s="24">
        <v>46041</v>
      </c>
      <c r="B22" s="23" t="s">
        <v>73</v>
      </c>
      <c r="C22" s="23" t="s">
        <v>113</v>
      </c>
      <c r="D22" s="23" t="s">
        <v>100</v>
      </c>
      <c r="E22" s="23" t="s">
        <v>101</v>
      </c>
      <c r="F22" s="23">
        <v>12</v>
      </c>
    </row>
    <row r="23" spans="1:6" x14ac:dyDescent="0.25">
      <c r="A23" s="24">
        <v>46042</v>
      </c>
      <c r="B23" s="23" t="s">
        <v>80</v>
      </c>
      <c r="C23" s="23" t="s">
        <v>114</v>
      </c>
      <c r="D23" s="23" t="s">
        <v>103</v>
      </c>
      <c r="E23" s="23" t="s">
        <v>104</v>
      </c>
      <c r="F23" s="23">
        <v>10</v>
      </c>
    </row>
    <row r="24" spans="1:6" x14ac:dyDescent="0.25">
      <c r="A24" s="24">
        <v>46043</v>
      </c>
      <c r="B24" s="23" t="s">
        <v>69</v>
      </c>
      <c r="C24" s="23" t="s">
        <v>115</v>
      </c>
      <c r="D24" s="23" t="s">
        <v>71</v>
      </c>
      <c r="E24" s="23" t="s">
        <v>72</v>
      </c>
      <c r="F24" s="23">
        <v>24</v>
      </c>
    </row>
    <row r="25" spans="1:6" x14ac:dyDescent="0.25">
      <c r="A25" s="24">
        <v>46044</v>
      </c>
      <c r="B25" s="23" t="s">
        <v>73</v>
      </c>
      <c r="C25" s="23" t="s">
        <v>116</v>
      </c>
      <c r="D25" s="23" t="s">
        <v>75</v>
      </c>
      <c r="E25" s="23" t="s">
        <v>76</v>
      </c>
      <c r="F25" s="23">
        <v>14</v>
      </c>
    </row>
    <row r="26" spans="1:6" x14ac:dyDescent="0.25">
      <c r="A26" s="24">
        <v>46045</v>
      </c>
      <c r="B26" s="23" t="s">
        <v>80</v>
      </c>
      <c r="C26" s="23" t="s">
        <v>117</v>
      </c>
      <c r="D26" s="23" t="s">
        <v>78</v>
      </c>
      <c r="E26" s="23" t="s">
        <v>79</v>
      </c>
      <c r="F26" s="23">
        <v>11</v>
      </c>
    </row>
    <row r="27" spans="1:6" x14ac:dyDescent="0.25">
      <c r="A27" s="24">
        <v>46046</v>
      </c>
      <c r="B27" s="23" t="s">
        <v>69</v>
      </c>
      <c r="C27" s="23" t="s">
        <v>118</v>
      </c>
      <c r="D27" s="23" t="s">
        <v>82</v>
      </c>
      <c r="E27" s="23" t="s">
        <v>83</v>
      </c>
      <c r="F27" s="23">
        <v>18</v>
      </c>
    </row>
    <row r="28" spans="1:6" x14ac:dyDescent="0.25">
      <c r="A28" s="24">
        <v>46047</v>
      </c>
      <c r="B28" s="23" t="s">
        <v>73</v>
      </c>
      <c r="C28" s="23" t="s">
        <v>119</v>
      </c>
      <c r="D28" s="23" t="s">
        <v>85</v>
      </c>
      <c r="E28" s="23" t="s">
        <v>86</v>
      </c>
      <c r="F28" s="23">
        <v>16</v>
      </c>
    </row>
    <row r="29" spans="1:6" x14ac:dyDescent="0.25">
      <c r="A29" s="24">
        <v>46048</v>
      </c>
      <c r="B29" s="23" t="s">
        <v>69</v>
      </c>
      <c r="C29" s="23" t="s">
        <v>120</v>
      </c>
      <c r="D29" s="23" t="s">
        <v>91</v>
      </c>
      <c r="E29" s="23" t="s">
        <v>92</v>
      </c>
      <c r="F29" s="23">
        <v>20</v>
      </c>
    </row>
    <row r="30" spans="1:6" x14ac:dyDescent="0.25">
      <c r="A30" s="24">
        <v>46049</v>
      </c>
      <c r="B30" s="23" t="s">
        <v>80</v>
      </c>
      <c r="C30" s="23" t="s">
        <v>121</v>
      </c>
      <c r="D30" s="23" t="s">
        <v>94</v>
      </c>
      <c r="E30" s="23" t="s">
        <v>95</v>
      </c>
      <c r="F30" s="23">
        <v>9</v>
      </c>
    </row>
    <row r="31" spans="1:6" x14ac:dyDescent="0.25">
      <c r="A31" s="24">
        <v>46050</v>
      </c>
      <c r="B31" s="23" t="s">
        <v>69</v>
      </c>
      <c r="C31" s="23" t="s">
        <v>122</v>
      </c>
      <c r="D31" s="23" t="s">
        <v>97</v>
      </c>
      <c r="E31" s="23" t="s">
        <v>98</v>
      </c>
      <c r="F31" s="23">
        <v>13</v>
      </c>
    </row>
    <row r="32" spans="1:6" x14ac:dyDescent="0.25">
      <c r="A32" s="24">
        <v>46051</v>
      </c>
      <c r="B32" s="23" t="s">
        <v>73</v>
      </c>
      <c r="C32" s="23" t="s">
        <v>123</v>
      </c>
      <c r="D32" s="23" t="s">
        <v>100</v>
      </c>
      <c r="E32" s="23" t="s">
        <v>101</v>
      </c>
      <c r="F32" s="23">
        <v>17</v>
      </c>
    </row>
    <row r="33" spans="1:6" x14ac:dyDescent="0.25">
      <c r="A33" s="24">
        <v>46052</v>
      </c>
      <c r="B33" s="23" t="s">
        <v>80</v>
      </c>
      <c r="C33" s="23" t="s">
        <v>124</v>
      </c>
      <c r="D33" s="23" t="s">
        <v>103</v>
      </c>
      <c r="E33" s="23" t="s">
        <v>104</v>
      </c>
      <c r="F33" s="23">
        <v>8</v>
      </c>
    </row>
    <row r="34" spans="1:6" x14ac:dyDescent="0.25">
      <c r="A34" s="24">
        <v>46053</v>
      </c>
      <c r="B34" s="23" t="s">
        <v>69</v>
      </c>
      <c r="C34" s="23" t="s">
        <v>125</v>
      </c>
      <c r="D34" s="23" t="s">
        <v>71</v>
      </c>
      <c r="E34" s="23" t="s">
        <v>72</v>
      </c>
      <c r="F34" s="23">
        <v>22</v>
      </c>
    </row>
    <row r="35" spans="1:6" x14ac:dyDescent="0.25">
      <c r="A35" s="24">
        <v>46054</v>
      </c>
      <c r="B35" s="23" t="s">
        <v>73</v>
      </c>
      <c r="C35" s="23" t="s">
        <v>126</v>
      </c>
      <c r="D35" s="23" t="s">
        <v>75</v>
      </c>
      <c r="E35" s="23" t="s">
        <v>76</v>
      </c>
      <c r="F35" s="23">
        <v>15</v>
      </c>
    </row>
    <row r="36" spans="1:6" x14ac:dyDescent="0.25">
      <c r="A36" s="24">
        <v>46055</v>
      </c>
      <c r="B36" s="23" t="s">
        <v>80</v>
      </c>
      <c r="C36" s="23" t="s">
        <v>127</v>
      </c>
      <c r="D36" s="23" t="s">
        <v>78</v>
      </c>
      <c r="E36" s="23" t="s">
        <v>79</v>
      </c>
      <c r="F36" s="23">
        <v>19</v>
      </c>
    </row>
    <row r="37" spans="1:6" x14ac:dyDescent="0.25">
      <c r="A37" s="24">
        <v>46056</v>
      </c>
      <c r="B37" s="23" t="s">
        <v>69</v>
      </c>
      <c r="C37" s="23" t="s">
        <v>128</v>
      </c>
      <c r="D37" s="23" t="s">
        <v>82</v>
      </c>
      <c r="E37" s="23" t="s">
        <v>83</v>
      </c>
      <c r="F37" s="23">
        <v>10</v>
      </c>
    </row>
    <row r="38" spans="1:6" x14ac:dyDescent="0.25">
      <c r="A38" s="24">
        <v>46057</v>
      </c>
      <c r="B38" s="23" t="s">
        <v>73</v>
      </c>
      <c r="C38" s="23" t="s">
        <v>129</v>
      </c>
      <c r="D38" s="23" t="s">
        <v>85</v>
      </c>
      <c r="E38" s="23" t="s">
        <v>86</v>
      </c>
      <c r="F38" s="23">
        <v>14</v>
      </c>
    </row>
    <row r="39" spans="1:6" x14ac:dyDescent="0.25">
      <c r="A39" s="24">
        <v>46058</v>
      </c>
      <c r="B39" s="23" t="s">
        <v>69</v>
      </c>
      <c r="C39" s="23" t="s">
        <v>130</v>
      </c>
      <c r="D39" s="23" t="s">
        <v>91</v>
      </c>
      <c r="E39" s="23" t="s">
        <v>92</v>
      </c>
      <c r="F39" s="23">
        <v>23</v>
      </c>
    </row>
    <row r="40" spans="1:6" x14ac:dyDescent="0.25">
      <c r="A40" s="24">
        <v>46059</v>
      </c>
      <c r="B40" s="23" t="s">
        <v>80</v>
      </c>
      <c r="C40" s="23" t="s">
        <v>131</v>
      </c>
      <c r="D40" s="23" t="s">
        <v>94</v>
      </c>
      <c r="E40" s="23" t="s">
        <v>95</v>
      </c>
      <c r="F40" s="23">
        <v>12</v>
      </c>
    </row>
    <row r="41" spans="1:6" x14ac:dyDescent="0.25">
      <c r="A41" s="24">
        <v>46060</v>
      </c>
      <c r="B41" s="23" t="s">
        <v>69</v>
      </c>
      <c r="C41" s="23" t="s">
        <v>132</v>
      </c>
      <c r="D41" s="23" t="s">
        <v>97</v>
      </c>
      <c r="E41" s="23" t="s">
        <v>98</v>
      </c>
      <c r="F41" s="23">
        <v>16</v>
      </c>
    </row>
    <row r="42" spans="1:6" x14ac:dyDescent="0.25">
      <c r="A42" s="24">
        <v>46061</v>
      </c>
      <c r="B42" s="23" t="s">
        <v>73</v>
      </c>
      <c r="C42" s="23" t="s">
        <v>133</v>
      </c>
      <c r="D42" s="23" t="s">
        <v>100</v>
      </c>
      <c r="E42" s="23" t="s">
        <v>101</v>
      </c>
      <c r="F42" s="23">
        <v>11</v>
      </c>
    </row>
    <row r="43" spans="1:6" x14ac:dyDescent="0.25">
      <c r="A43" s="24">
        <v>46062</v>
      </c>
      <c r="B43" s="23" t="s">
        <v>80</v>
      </c>
      <c r="C43" s="23" t="s">
        <v>134</v>
      </c>
      <c r="D43" s="23" t="s">
        <v>103</v>
      </c>
      <c r="E43" s="23" t="s">
        <v>104</v>
      </c>
      <c r="F43" s="23">
        <v>18</v>
      </c>
    </row>
    <row r="44" spans="1:6" x14ac:dyDescent="0.25">
      <c r="A44" s="24">
        <v>46063</v>
      </c>
      <c r="B44" s="23" t="s">
        <v>69</v>
      </c>
      <c r="C44" s="23" t="s">
        <v>135</v>
      </c>
      <c r="D44" s="23" t="s">
        <v>71</v>
      </c>
      <c r="E44" s="23" t="s">
        <v>72</v>
      </c>
      <c r="F44" s="23">
        <v>7</v>
      </c>
    </row>
    <row r="45" spans="1:6" x14ac:dyDescent="0.25">
      <c r="A45" s="24">
        <v>46064</v>
      </c>
      <c r="B45" s="23" t="s">
        <v>73</v>
      </c>
      <c r="C45" s="23" t="s">
        <v>136</v>
      </c>
      <c r="D45" s="23" t="s">
        <v>75</v>
      </c>
      <c r="E45" s="23" t="s">
        <v>76</v>
      </c>
      <c r="F45" s="23">
        <v>20</v>
      </c>
    </row>
    <row r="46" spans="1:6" x14ac:dyDescent="0.25">
      <c r="A46" s="24">
        <v>46065</v>
      </c>
      <c r="B46" s="23" t="s">
        <v>80</v>
      </c>
      <c r="C46" s="23" t="s">
        <v>137</v>
      </c>
      <c r="D46" s="23" t="s">
        <v>78</v>
      </c>
      <c r="E46" s="23" t="s">
        <v>79</v>
      </c>
      <c r="F46" s="23">
        <v>13</v>
      </c>
    </row>
    <row r="47" spans="1:6" x14ac:dyDescent="0.25">
      <c r="A47" s="24">
        <v>46066</v>
      </c>
      <c r="B47" s="23" t="s">
        <v>69</v>
      </c>
      <c r="C47" s="23" t="s">
        <v>138</v>
      </c>
      <c r="D47" s="23" t="s">
        <v>82</v>
      </c>
      <c r="E47" s="23" t="s">
        <v>83</v>
      </c>
      <c r="F47" s="23">
        <v>17</v>
      </c>
    </row>
    <row r="48" spans="1:6" x14ac:dyDescent="0.25">
      <c r="A48" s="24">
        <v>46067</v>
      </c>
      <c r="B48" s="23" t="s">
        <v>73</v>
      </c>
      <c r="C48" s="23" t="s">
        <v>139</v>
      </c>
      <c r="D48" s="23" t="s">
        <v>85</v>
      </c>
      <c r="E48" s="23" t="s">
        <v>86</v>
      </c>
      <c r="F48" s="23">
        <v>9</v>
      </c>
    </row>
    <row r="49" spans="1:6" x14ac:dyDescent="0.25">
      <c r="A49" s="24">
        <v>46068</v>
      </c>
      <c r="B49" s="23" t="s">
        <v>69</v>
      </c>
      <c r="C49" s="23" t="s">
        <v>140</v>
      </c>
      <c r="D49" s="23" t="s">
        <v>91</v>
      </c>
      <c r="E49" s="23" t="s">
        <v>92</v>
      </c>
      <c r="F49" s="23">
        <v>21</v>
      </c>
    </row>
    <row r="50" spans="1:6" x14ac:dyDescent="0.25">
      <c r="A50" s="24">
        <v>46069</v>
      </c>
      <c r="B50" s="23" t="s">
        <v>80</v>
      </c>
      <c r="C50" s="23" t="s">
        <v>141</v>
      </c>
      <c r="D50" s="23" t="s">
        <v>94</v>
      </c>
      <c r="E50" s="23" t="s">
        <v>95</v>
      </c>
      <c r="F50" s="23">
        <v>14</v>
      </c>
    </row>
    <row r="51" spans="1:6" x14ac:dyDescent="0.25">
      <c r="A51" s="24">
        <v>46070</v>
      </c>
      <c r="B51" s="23" t="s">
        <v>69</v>
      </c>
      <c r="C51" s="23" t="s">
        <v>142</v>
      </c>
      <c r="D51" s="23" t="s">
        <v>97</v>
      </c>
      <c r="E51" s="23" t="s">
        <v>98</v>
      </c>
      <c r="F51" s="23">
        <v>10</v>
      </c>
    </row>
    <row r="52" spans="1:6" x14ac:dyDescent="0.25">
      <c r="A52" s="24">
        <v>46071</v>
      </c>
      <c r="B52" s="23" t="s">
        <v>73</v>
      </c>
      <c r="C52" s="23" t="s">
        <v>143</v>
      </c>
      <c r="D52" s="23" t="s">
        <v>100</v>
      </c>
      <c r="E52" s="23" t="s">
        <v>101</v>
      </c>
      <c r="F52" s="23">
        <v>22</v>
      </c>
    </row>
    <row r="53" spans="1:6" x14ac:dyDescent="0.25">
      <c r="A53" s="24">
        <v>46072</v>
      </c>
      <c r="B53" s="23" t="s">
        <v>80</v>
      </c>
      <c r="C53" s="23" t="s">
        <v>144</v>
      </c>
      <c r="D53" s="23" t="s">
        <v>103</v>
      </c>
      <c r="E53" s="23" t="s">
        <v>104</v>
      </c>
      <c r="F53" s="23">
        <v>15</v>
      </c>
    </row>
    <row r="54" spans="1:6" x14ac:dyDescent="0.25">
      <c r="A54" s="24">
        <v>46073</v>
      </c>
      <c r="B54" s="23" t="s">
        <v>69</v>
      </c>
      <c r="C54" s="23" t="s">
        <v>145</v>
      </c>
      <c r="D54" s="23" t="s">
        <v>71</v>
      </c>
      <c r="E54" s="23" t="s">
        <v>72</v>
      </c>
      <c r="F54" s="23">
        <v>12</v>
      </c>
    </row>
    <row r="55" spans="1:6" x14ac:dyDescent="0.25">
      <c r="A55" s="24">
        <v>46074</v>
      </c>
      <c r="B55" s="23" t="s">
        <v>73</v>
      </c>
      <c r="C55" s="23" t="s">
        <v>146</v>
      </c>
      <c r="D55" s="23" t="s">
        <v>75</v>
      </c>
      <c r="E55" s="23" t="s">
        <v>76</v>
      </c>
      <c r="F55" s="23">
        <v>18</v>
      </c>
    </row>
    <row r="56" spans="1:6" x14ac:dyDescent="0.25">
      <c r="A56" s="24">
        <v>46075</v>
      </c>
      <c r="B56" s="23" t="s">
        <v>80</v>
      </c>
      <c r="C56" s="23" t="s">
        <v>147</v>
      </c>
      <c r="D56" s="23" t="s">
        <v>78</v>
      </c>
      <c r="E56" s="23" t="s">
        <v>79</v>
      </c>
      <c r="F56" s="23">
        <v>24</v>
      </c>
    </row>
    <row r="57" spans="1:6" x14ac:dyDescent="0.25">
      <c r="A57" s="24">
        <v>46076</v>
      </c>
      <c r="B57" s="23" t="s">
        <v>69</v>
      </c>
      <c r="C57" s="23" t="s">
        <v>148</v>
      </c>
      <c r="D57" s="23" t="s">
        <v>82</v>
      </c>
      <c r="E57" s="23" t="s">
        <v>83</v>
      </c>
      <c r="F57" s="23">
        <v>8</v>
      </c>
    </row>
    <row r="58" spans="1:6" x14ac:dyDescent="0.25">
      <c r="A58" s="24">
        <v>46077</v>
      </c>
      <c r="B58" s="23" t="s">
        <v>73</v>
      </c>
      <c r="C58" s="23" t="s">
        <v>149</v>
      </c>
      <c r="D58" s="23" t="s">
        <v>85</v>
      </c>
      <c r="E58" s="23" t="s">
        <v>86</v>
      </c>
      <c r="F58" s="23">
        <v>16</v>
      </c>
    </row>
    <row r="59" spans="1:6" x14ac:dyDescent="0.25">
      <c r="A59" s="24">
        <v>46078</v>
      </c>
      <c r="B59" s="23" t="s">
        <v>69</v>
      </c>
      <c r="C59" s="23" t="s">
        <v>150</v>
      </c>
      <c r="D59" s="23" t="s">
        <v>91</v>
      </c>
      <c r="E59" s="23" t="s">
        <v>92</v>
      </c>
      <c r="F59" s="23">
        <v>19</v>
      </c>
    </row>
    <row r="60" spans="1:6" x14ac:dyDescent="0.25">
      <c r="A60" s="24">
        <v>46079</v>
      </c>
      <c r="B60" s="23" t="s">
        <v>80</v>
      </c>
      <c r="C60" s="23" t="s">
        <v>151</v>
      </c>
      <c r="D60" s="23" t="s">
        <v>94</v>
      </c>
      <c r="E60" s="23" t="s">
        <v>95</v>
      </c>
      <c r="F60" s="23">
        <v>11</v>
      </c>
    </row>
    <row r="61" spans="1:6" x14ac:dyDescent="0.25">
      <c r="A61" s="24">
        <v>46080</v>
      </c>
      <c r="B61" s="23" t="s">
        <v>69</v>
      </c>
      <c r="C61" s="23" t="s">
        <v>152</v>
      </c>
      <c r="D61" s="23" t="s">
        <v>97</v>
      </c>
      <c r="E61" s="23" t="s">
        <v>98</v>
      </c>
      <c r="F61" s="23">
        <v>14</v>
      </c>
    </row>
    <row r="62" spans="1:6" x14ac:dyDescent="0.25">
      <c r="A62" s="24">
        <v>46081</v>
      </c>
      <c r="B62" s="23" t="s">
        <v>73</v>
      </c>
      <c r="C62" s="23" t="s">
        <v>153</v>
      </c>
      <c r="D62" s="23" t="s">
        <v>100</v>
      </c>
      <c r="E62" s="23" t="s">
        <v>101</v>
      </c>
      <c r="F62" s="23">
        <v>20</v>
      </c>
    </row>
    <row r="63" spans="1:6" x14ac:dyDescent="0.25">
      <c r="A63" s="24">
        <v>46082</v>
      </c>
      <c r="B63" s="23" t="s">
        <v>80</v>
      </c>
      <c r="C63" s="23" t="s">
        <v>154</v>
      </c>
      <c r="D63" s="23" t="s">
        <v>103</v>
      </c>
      <c r="E63" s="23" t="s">
        <v>104</v>
      </c>
      <c r="F63" s="23">
        <v>13</v>
      </c>
    </row>
    <row r="64" spans="1:6" x14ac:dyDescent="0.25">
      <c r="A64" s="24">
        <v>46083</v>
      </c>
      <c r="B64" s="23" t="s">
        <v>69</v>
      </c>
      <c r="C64" s="23" t="s">
        <v>155</v>
      </c>
      <c r="D64" s="23" t="s">
        <v>71</v>
      </c>
      <c r="E64" s="23" t="s">
        <v>72</v>
      </c>
      <c r="F64" s="23">
        <v>17</v>
      </c>
    </row>
    <row r="65" spans="1:6" x14ac:dyDescent="0.25">
      <c r="A65" s="24">
        <v>46084</v>
      </c>
      <c r="B65" s="23" t="s">
        <v>73</v>
      </c>
      <c r="C65" s="23" t="s">
        <v>156</v>
      </c>
      <c r="D65" s="23" t="s">
        <v>75</v>
      </c>
      <c r="E65" s="23" t="s">
        <v>76</v>
      </c>
      <c r="F65" s="23">
        <v>9</v>
      </c>
    </row>
    <row r="66" spans="1:6" x14ac:dyDescent="0.25">
      <c r="A66" s="24">
        <v>46085</v>
      </c>
      <c r="B66" s="23" t="s">
        <v>80</v>
      </c>
      <c r="C66" s="23" t="s">
        <v>157</v>
      </c>
      <c r="D66" s="23" t="s">
        <v>78</v>
      </c>
      <c r="E66" s="23" t="s">
        <v>79</v>
      </c>
      <c r="F66" s="23">
        <v>21</v>
      </c>
    </row>
    <row r="67" spans="1:6" x14ac:dyDescent="0.25">
      <c r="A67" s="24">
        <v>46086</v>
      </c>
      <c r="B67" s="23" t="s">
        <v>69</v>
      </c>
      <c r="C67" s="23" t="s">
        <v>158</v>
      </c>
      <c r="D67" s="23" t="s">
        <v>82</v>
      </c>
      <c r="E67" s="23" t="s">
        <v>83</v>
      </c>
      <c r="F67" s="23">
        <v>12</v>
      </c>
    </row>
    <row r="68" spans="1:6" x14ac:dyDescent="0.25">
      <c r="A68" s="24">
        <v>46087</v>
      </c>
      <c r="B68" s="23" t="s">
        <v>73</v>
      </c>
      <c r="C68" s="23" t="s">
        <v>159</v>
      </c>
      <c r="D68" s="23" t="s">
        <v>85</v>
      </c>
      <c r="E68" s="23" t="s">
        <v>86</v>
      </c>
      <c r="F68" s="23">
        <v>15</v>
      </c>
    </row>
    <row r="69" spans="1:6" x14ac:dyDescent="0.25">
      <c r="A69" s="24">
        <v>46088</v>
      </c>
      <c r="B69" s="23" t="s">
        <v>69</v>
      </c>
      <c r="C69" s="23" t="s">
        <v>160</v>
      </c>
      <c r="D69" s="23" t="s">
        <v>91</v>
      </c>
      <c r="E69" s="23" t="s">
        <v>92</v>
      </c>
      <c r="F69" s="23">
        <v>18</v>
      </c>
    </row>
    <row r="70" spans="1:6" x14ac:dyDescent="0.25">
      <c r="A70" s="24">
        <v>46089</v>
      </c>
      <c r="B70" s="23" t="s">
        <v>80</v>
      </c>
      <c r="C70" s="23" t="s">
        <v>161</v>
      </c>
      <c r="D70" s="23" t="s">
        <v>94</v>
      </c>
      <c r="E70" s="23" t="s">
        <v>95</v>
      </c>
      <c r="F70" s="23">
        <v>10</v>
      </c>
    </row>
    <row r="71" spans="1:6" x14ac:dyDescent="0.25">
      <c r="A71" s="24">
        <v>46090</v>
      </c>
      <c r="B71" s="23" t="s">
        <v>69</v>
      </c>
      <c r="C71" s="23" t="s">
        <v>162</v>
      </c>
      <c r="D71" s="23" t="s">
        <v>97</v>
      </c>
      <c r="E71" s="23" t="s">
        <v>98</v>
      </c>
      <c r="F71" s="23">
        <v>23</v>
      </c>
    </row>
    <row r="72" spans="1:6" x14ac:dyDescent="0.25">
      <c r="A72" s="24">
        <v>46091</v>
      </c>
      <c r="B72" s="23" t="s">
        <v>73</v>
      </c>
      <c r="C72" s="23" t="s">
        <v>163</v>
      </c>
      <c r="D72" s="23" t="s">
        <v>100</v>
      </c>
      <c r="E72" s="23" t="s">
        <v>101</v>
      </c>
      <c r="F72" s="23">
        <v>14</v>
      </c>
    </row>
    <row r="73" spans="1:6" x14ac:dyDescent="0.25">
      <c r="A73" s="24">
        <v>46092</v>
      </c>
      <c r="B73" s="23" t="s">
        <v>80</v>
      </c>
      <c r="C73" s="23" t="s">
        <v>164</v>
      </c>
      <c r="D73" s="23" t="s">
        <v>103</v>
      </c>
      <c r="E73" s="23" t="s">
        <v>104</v>
      </c>
      <c r="F73" s="23">
        <v>16</v>
      </c>
    </row>
    <row r="74" spans="1:6" x14ac:dyDescent="0.25">
      <c r="A74" s="24">
        <v>46093</v>
      </c>
      <c r="B74" s="23" t="s">
        <v>69</v>
      </c>
      <c r="C74" s="23" t="s">
        <v>165</v>
      </c>
      <c r="D74" s="23" t="s">
        <v>71</v>
      </c>
      <c r="E74" s="23" t="s">
        <v>72</v>
      </c>
      <c r="F74" s="23">
        <v>20</v>
      </c>
    </row>
    <row r="75" spans="1:6" x14ac:dyDescent="0.25">
      <c r="A75" s="24">
        <v>46094</v>
      </c>
      <c r="B75" s="23" t="s">
        <v>73</v>
      </c>
      <c r="C75" s="23" t="s">
        <v>166</v>
      </c>
      <c r="D75" s="23" t="s">
        <v>75</v>
      </c>
      <c r="E75" s="23" t="s">
        <v>76</v>
      </c>
      <c r="F75" s="23">
        <v>11</v>
      </c>
    </row>
    <row r="76" spans="1:6" x14ac:dyDescent="0.25">
      <c r="A76" s="24">
        <v>46095</v>
      </c>
      <c r="B76" s="23" t="s">
        <v>80</v>
      </c>
      <c r="C76" s="23" t="s">
        <v>167</v>
      </c>
      <c r="D76" s="23" t="s">
        <v>78</v>
      </c>
      <c r="E76" s="23" t="s">
        <v>79</v>
      </c>
      <c r="F76" s="23">
        <v>18</v>
      </c>
    </row>
    <row r="77" spans="1:6" x14ac:dyDescent="0.25">
      <c r="A77" s="24">
        <v>46096</v>
      </c>
      <c r="B77" s="23" t="s">
        <v>69</v>
      </c>
      <c r="C77" s="23" t="s">
        <v>168</v>
      </c>
      <c r="D77" s="23" t="s">
        <v>82</v>
      </c>
      <c r="E77" s="23" t="s">
        <v>83</v>
      </c>
      <c r="F77" s="23">
        <v>13</v>
      </c>
    </row>
    <row r="78" spans="1:6" x14ac:dyDescent="0.25">
      <c r="A78" s="24">
        <v>46097</v>
      </c>
      <c r="B78" s="23" t="s">
        <v>73</v>
      </c>
      <c r="C78" s="23" t="s">
        <v>169</v>
      </c>
      <c r="D78" s="23" t="s">
        <v>85</v>
      </c>
      <c r="E78" s="23" t="s">
        <v>86</v>
      </c>
      <c r="F78" s="23">
        <v>22</v>
      </c>
    </row>
    <row r="79" spans="1:6" x14ac:dyDescent="0.25">
      <c r="A79" s="24">
        <v>46098</v>
      </c>
      <c r="B79" s="23" t="s">
        <v>69</v>
      </c>
      <c r="C79" s="23" t="s">
        <v>170</v>
      </c>
      <c r="D79" s="23" t="s">
        <v>91</v>
      </c>
      <c r="E79" s="23" t="s">
        <v>92</v>
      </c>
      <c r="F79" s="23">
        <v>15</v>
      </c>
    </row>
    <row r="80" spans="1:6" x14ac:dyDescent="0.25">
      <c r="A80" s="24">
        <v>46099</v>
      </c>
      <c r="B80" s="23" t="s">
        <v>80</v>
      </c>
      <c r="C80" s="23" t="s">
        <v>171</v>
      </c>
      <c r="D80" s="23" t="s">
        <v>94</v>
      </c>
      <c r="E80" s="23" t="s">
        <v>95</v>
      </c>
      <c r="F80" s="23">
        <v>8</v>
      </c>
    </row>
    <row r="81" spans="1:6" x14ac:dyDescent="0.25">
      <c r="A81" s="24">
        <v>46100</v>
      </c>
      <c r="B81" s="23" t="s">
        <v>69</v>
      </c>
      <c r="C81" s="23" t="s">
        <v>172</v>
      </c>
      <c r="D81" s="23" t="s">
        <v>97</v>
      </c>
      <c r="E81" s="23" t="s">
        <v>98</v>
      </c>
      <c r="F81" s="23">
        <v>19</v>
      </c>
    </row>
    <row r="82" spans="1:6" x14ac:dyDescent="0.25">
      <c r="A82" s="24">
        <v>46101</v>
      </c>
      <c r="B82" s="23" t="s">
        <v>73</v>
      </c>
      <c r="C82" s="23" t="s">
        <v>173</v>
      </c>
      <c r="D82" s="23" t="s">
        <v>100</v>
      </c>
      <c r="E82" s="23" t="s">
        <v>101</v>
      </c>
      <c r="F82" s="23">
        <v>12</v>
      </c>
    </row>
    <row r="83" spans="1:6" x14ac:dyDescent="0.25">
      <c r="A83" s="24">
        <v>46102</v>
      </c>
      <c r="B83" s="23" t="s">
        <v>80</v>
      </c>
      <c r="C83" s="23" t="s">
        <v>174</v>
      </c>
      <c r="D83" s="23" t="s">
        <v>103</v>
      </c>
      <c r="E83" s="23" t="s">
        <v>104</v>
      </c>
      <c r="F83" s="23">
        <v>17</v>
      </c>
    </row>
    <row r="84" spans="1:6" x14ac:dyDescent="0.25">
      <c r="A84" s="24">
        <v>46103</v>
      </c>
      <c r="B84" s="23" t="s">
        <v>69</v>
      </c>
      <c r="C84" s="23" t="s">
        <v>175</v>
      </c>
      <c r="D84" s="23" t="s">
        <v>71</v>
      </c>
      <c r="E84" s="23" t="s">
        <v>72</v>
      </c>
      <c r="F84" s="23">
        <v>14</v>
      </c>
    </row>
    <row r="85" spans="1:6" x14ac:dyDescent="0.25">
      <c r="A85" s="24">
        <v>46104</v>
      </c>
      <c r="B85" s="23" t="s">
        <v>73</v>
      </c>
      <c r="C85" s="23" t="s">
        <v>176</v>
      </c>
      <c r="D85" s="23" t="s">
        <v>75</v>
      </c>
      <c r="E85" s="23" t="s">
        <v>76</v>
      </c>
      <c r="F85" s="23">
        <v>21</v>
      </c>
    </row>
    <row r="86" spans="1:6" x14ac:dyDescent="0.25">
      <c r="A86" s="24">
        <v>46105</v>
      </c>
      <c r="B86" s="23" t="s">
        <v>80</v>
      </c>
      <c r="C86" s="23" t="s">
        <v>177</v>
      </c>
      <c r="D86" s="23" t="s">
        <v>78</v>
      </c>
      <c r="E86" s="23" t="s">
        <v>79</v>
      </c>
      <c r="F86" s="23">
        <v>10</v>
      </c>
    </row>
    <row r="87" spans="1:6" x14ac:dyDescent="0.25">
      <c r="A87" s="24">
        <v>46106</v>
      </c>
      <c r="B87" s="23" t="s">
        <v>69</v>
      </c>
      <c r="C87" s="23" t="s">
        <v>178</v>
      </c>
      <c r="D87" s="23" t="s">
        <v>82</v>
      </c>
      <c r="E87" s="23" t="s">
        <v>83</v>
      </c>
      <c r="F87" s="23">
        <v>16</v>
      </c>
    </row>
    <row r="88" spans="1:6" x14ac:dyDescent="0.25">
      <c r="A88" s="24">
        <v>46107</v>
      </c>
      <c r="B88" s="23" t="s">
        <v>73</v>
      </c>
      <c r="C88" s="23" t="s">
        <v>179</v>
      </c>
      <c r="D88" s="23" t="s">
        <v>85</v>
      </c>
      <c r="E88" s="23" t="s">
        <v>86</v>
      </c>
      <c r="F88" s="23">
        <v>13</v>
      </c>
    </row>
    <row r="89" spans="1:6" x14ac:dyDescent="0.25">
      <c r="A89" s="24">
        <v>46108</v>
      </c>
      <c r="B89" s="23" t="s">
        <v>69</v>
      </c>
      <c r="C89" s="23" t="s">
        <v>180</v>
      </c>
      <c r="D89" s="23" t="s">
        <v>91</v>
      </c>
      <c r="E89" s="23" t="s">
        <v>92</v>
      </c>
      <c r="F89" s="23">
        <v>24</v>
      </c>
    </row>
    <row r="90" spans="1:6" x14ac:dyDescent="0.25">
      <c r="A90" s="24">
        <v>46109</v>
      </c>
      <c r="B90" s="23" t="s">
        <v>80</v>
      </c>
      <c r="C90" s="23" t="s">
        <v>181</v>
      </c>
      <c r="D90" s="23" t="s">
        <v>94</v>
      </c>
      <c r="E90" s="23" t="s">
        <v>95</v>
      </c>
      <c r="F90" s="23">
        <v>9</v>
      </c>
    </row>
    <row r="91" spans="1:6" x14ac:dyDescent="0.25">
      <c r="A91" s="24">
        <v>46110</v>
      </c>
      <c r="B91" s="23" t="s">
        <v>69</v>
      </c>
      <c r="C91" s="23" t="s">
        <v>182</v>
      </c>
      <c r="D91" s="23" t="s">
        <v>97</v>
      </c>
      <c r="E91" s="23" t="s">
        <v>98</v>
      </c>
      <c r="F91" s="23">
        <v>15</v>
      </c>
    </row>
    <row r="92" spans="1:6" x14ac:dyDescent="0.25">
      <c r="A92" s="24">
        <v>46111</v>
      </c>
      <c r="B92" s="23" t="s">
        <v>73</v>
      </c>
      <c r="C92" s="23" t="s">
        <v>183</v>
      </c>
      <c r="D92" s="23" t="s">
        <v>100</v>
      </c>
      <c r="E92" s="23" t="s">
        <v>101</v>
      </c>
      <c r="F92" s="23">
        <v>18</v>
      </c>
    </row>
    <row r="93" spans="1:6" x14ac:dyDescent="0.25">
      <c r="A93" s="24">
        <v>46112</v>
      </c>
      <c r="B93" s="23" t="s">
        <v>80</v>
      </c>
      <c r="C93" s="23" t="s">
        <v>184</v>
      </c>
      <c r="D93" s="23" t="s">
        <v>103</v>
      </c>
      <c r="E93" s="23" t="s">
        <v>104</v>
      </c>
      <c r="F93" s="23">
        <v>11</v>
      </c>
    </row>
    <row r="94" spans="1:6" x14ac:dyDescent="0.25">
      <c r="A94" s="24">
        <v>46113</v>
      </c>
      <c r="B94" s="23" t="s">
        <v>69</v>
      </c>
      <c r="C94" s="23" t="s">
        <v>185</v>
      </c>
      <c r="D94" s="23" t="s">
        <v>71</v>
      </c>
      <c r="E94" s="23" t="s">
        <v>72</v>
      </c>
      <c r="F94" s="23">
        <v>20</v>
      </c>
    </row>
    <row r="95" spans="1:6" x14ac:dyDescent="0.25">
      <c r="A95" s="24">
        <v>46114</v>
      </c>
      <c r="B95" s="23" t="s">
        <v>73</v>
      </c>
      <c r="C95" s="23" t="s">
        <v>186</v>
      </c>
      <c r="D95" s="23" t="s">
        <v>75</v>
      </c>
      <c r="E95" s="23" t="s">
        <v>76</v>
      </c>
      <c r="F95" s="23">
        <v>14</v>
      </c>
    </row>
    <row r="96" spans="1:6" x14ac:dyDescent="0.25">
      <c r="A96" s="24">
        <v>46115</v>
      </c>
      <c r="B96" s="23" t="s">
        <v>80</v>
      </c>
      <c r="C96" s="23" t="s">
        <v>187</v>
      </c>
      <c r="D96" s="23" t="s">
        <v>78</v>
      </c>
      <c r="E96" s="23" t="s">
        <v>79</v>
      </c>
      <c r="F96" s="23">
        <v>17</v>
      </c>
    </row>
    <row r="97" spans="1:6" x14ac:dyDescent="0.25">
      <c r="A97" s="24">
        <v>46116</v>
      </c>
      <c r="B97" s="23" t="s">
        <v>69</v>
      </c>
      <c r="C97" s="23" t="s">
        <v>188</v>
      </c>
      <c r="D97" s="23" t="s">
        <v>82</v>
      </c>
      <c r="E97" s="23" t="s">
        <v>83</v>
      </c>
      <c r="F97" s="23">
        <v>12</v>
      </c>
    </row>
    <row r="98" spans="1:6" x14ac:dyDescent="0.25">
      <c r="A98" s="24">
        <v>46117</v>
      </c>
      <c r="B98" s="23" t="s">
        <v>73</v>
      </c>
      <c r="C98" s="23" t="s">
        <v>189</v>
      </c>
      <c r="D98" s="23" t="s">
        <v>85</v>
      </c>
      <c r="E98" s="23" t="s">
        <v>86</v>
      </c>
      <c r="F98" s="23">
        <v>23</v>
      </c>
    </row>
    <row r="99" spans="1:6" x14ac:dyDescent="0.25">
      <c r="A99" s="24">
        <v>46118</v>
      </c>
      <c r="B99" s="23" t="s">
        <v>69</v>
      </c>
      <c r="C99" s="23" t="s">
        <v>190</v>
      </c>
      <c r="D99" s="23" t="s">
        <v>91</v>
      </c>
      <c r="E99" s="23" t="s">
        <v>92</v>
      </c>
      <c r="F99" s="23">
        <v>16</v>
      </c>
    </row>
    <row r="100" spans="1:6" x14ac:dyDescent="0.25">
      <c r="A100" s="24">
        <v>46119</v>
      </c>
      <c r="B100" s="23" t="s">
        <v>80</v>
      </c>
      <c r="C100" s="23" t="s">
        <v>191</v>
      </c>
      <c r="D100" s="23" t="s">
        <v>94</v>
      </c>
      <c r="E100" s="23" t="s">
        <v>95</v>
      </c>
      <c r="F100" s="23">
        <v>10</v>
      </c>
    </row>
    <row r="101" spans="1:6" x14ac:dyDescent="0.25">
      <c r="A101" s="24">
        <v>46120</v>
      </c>
      <c r="B101" s="23" t="s">
        <v>69</v>
      </c>
      <c r="C101" s="23" t="s">
        <v>192</v>
      </c>
      <c r="D101" s="23" t="s">
        <v>97</v>
      </c>
      <c r="E101" s="23" t="s">
        <v>98</v>
      </c>
      <c r="F101" s="23">
        <v>18</v>
      </c>
    </row>
    <row r="102" spans="1:6" x14ac:dyDescent="0.25">
      <c r="A102" s="13">
        <v>46121</v>
      </c>
      <c r="B102" t="s">
        <v>73</v>
      </c>
      <c r="C102" t="s">
        <v>193</v>
      </c>
      <c r="D102" t="s">
        <v>100</v>
      </c>
      <c r="E102" t="s">
        <v>101</v>
      </c>
      <c r="F102">
        <v>13</v>
      </c>
    </row>
    <row r="103" spans="1:6" x14ac:dyDescent="0.25">
      <c r="A103" s="13">
        <v>46122</v>
      </c>
      <c r="B103" t="s">
        <v>80</v>
      </c>
      <c r="C103" t="s">
        <v>194</v>
      </c>
      <c r="D103" t="s">
        <v>103</v>
      </c>
      <c r="E103" t="s">
        <v>104</v>
      </c>
      <c r="F103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Sheet8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23691A4021@mits.com</dc:creator>
  <cp:lastModifiedBy>23691A4021@mits.com</cp:lastModifiedBy>
  <dcterms:created xsi:type="dcterms:W3CDTF">2026-06-08T04:29:57Z</dcterms:created>
  <dcterms:modified xsi:type="dcterms:W3CDTF">2026-06-08T11:22:44Z</dcterms:modified>
</cp:coreProperties>
</file>