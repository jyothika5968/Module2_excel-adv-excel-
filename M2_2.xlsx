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D35A8AA6-7AF5-479D-8B03-E7DBC90F08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ODULE 2_2" sheetId="2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46" i="2" l="1"/>
  <c r="AK46" i="2" s="1"/>
  <c r="AH46" i="2"/>
  <c r="AI46" i="2" s="1"/>
  <c r="AF46" i="2"/>
  <c r="AE46" i="2"/>
  <c r="AD46" i="2"/>
  <c r="AJ45" i="2"/>
  <c r="AK45" i="2" s="1"/>
  <c r="AH45" i="2"/>
  <c r="AI45" i="2" s="1"/>
  <c r="AF45" i="2"/>
  <c r="AE45" i="2"/>
  <c r="AD45" i="2"/>
  <c r="AJ44" i="2"/>
  <c r="AK44" i="2" s="1"/>
  <c r="AH44" i="2"/>
  <c r="AI44" i="2" s="1"/>
  <c r="AF44" i="2"/>
  <c r="AE44" i="2"/>
  <c r="AD44" i="2"/>
  <c r="AJ43" i="2"/>
  <c r="AK43" i="2" s="1"/>
  <c r="AH43" i="2"/>
  <c r="AI43" i="2" s="1"/>
  <c r="AF43" i="2"/>
  <c r="AE43" i="2"/>
  <c r="AD43" i="2"/>
  <c r="AN42" i="2"/>
  <c r="AM42" i="2"/>
  <c r="AJ42" i="2"/>
  <c r="AK42" i="2" s="1"/>
  <c r="AH42" i="2"/>
  <c r="AI42" i="2" s="1"/>
  <c r="AF42" i="2"/>
  <c r="AE42" i="2"/>
  <c r="AD42" i="2"/>
  <c r="AL35" i="2"/>
  <c r="AK35" i="2"/>
  <c r="AJ35" i="2"/>
  <c r="AI35" i="2"/>
  <c r="AG35" i="2"/>
  <c r="AF35" i="2"/>
  <c r="AE35" i="2"/>
  <c r="AC35" i="2"/>
  <c r="AM30" i="2"/>
  <c r="AK30" i="2"/>
  <c r="AI30" i="2"/>
  <c r="AG30" i="2"/>
  <c r="AE30" i="2"/>
  <c r="AC30" i="2"/>
  <c r="P23" i="2"/>
  <c r="P22" i="2"/>
  <c r="P21" i="2"/>
  <c r="P20" i="2"/>
  <c r="P19" i="2"/>
  <c r="I16" i="2"/>
  <c r="N13" i="2"/>
  <c r="I9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<sst xmlns="http://schemas.openxmlformats.org/spreadsheetml/2006/main" count="226" uniqueCount="132">
  <si>
    <t>LOOKUP FUNCTIONS</t>
  </si>
  <si>
    <t>STATISTICAL FUNCTIONS</t>
  </si>
  <si>
    <t>VLOOKUP()</t>
  </si>
  <si>
    <t>HLOOKUP()</t>
  </si>
  <si>
    <t>CustomerID</t>
  </si>
  <si>
    <t>Surname</t>
  </si>
  <si>
    <t>CreditScore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</si>
  <si>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</si>
  <si>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</si>
  <si>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</si>
  <si>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</si>
  <si>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</si>
  <si>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</si>
  <si>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</si>
  <si>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</si>
  <si>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</si>
  <si>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Kumar</t>
  </si>
  <si>
    <t>Male</t>
  </si>
  <si>
    <t>SL No</t>
  </si>
  <si>
    <t>Description</t>
  </si>
  <si>
    <t>Type</t>
  </si>
  <si>
    <t>Price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</si>
  <si>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</si>
  <si>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</si>
  <si>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</si>
  <si>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</si>
  <si>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</si>
  <si>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</si>
  <si>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</si>
  <si>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</si>
  <si>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</si>
  <si>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</si>
  <si>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Sharma</t>
  </si>
  <si>
    <t>Female</t>
  </si>
  <si>
    <t>Wireless Mouse</t>
  </si>
  <si>
    <t>Electronics</t>
  </si>
  <si>
    <t>Mechanical Keyboard</t>
  </si>
  <si>
    <t>Water Bottle</t>
  </si>
  <si>
    <t>Notebook</t>
  </si>
  <si>
    <t>Office Chair</t>
  </si>
  <si>
    <t>LED Desk Lamp</t>
  </si>
  <si>
    <t>Backpack</t>
  </si>
  <si>
    <t>Coffee Mug</t>
  </si>
  <si>
    <t>Bluetooth Speaker</t>
  </si>
  <si>
    <t>Study Table</t>
  </si>
  <si>
    <t>Reddy</t>
  </si>
  <si>
    <t>WATER BOTTLE</t>
  </si>
  <si>
    <t>Home &amp; Kitchen</t>
  </si>
  <si>
    <t>Stationery</t>
  </si>
  <si>
    <t>Furniture</t>
  </si>
  <si>
    <t>Accessories</t>
  </si>
  <si>
    <t>Patel</t>
  </si>
  <si>
    <t>Singh</t>
  </si>
  <si>
    <t>Khan</t>
  </si>
  <si>
    <t>Das</t>
  </si>
  <si>
    <t>COFFEE MUG</t>
  </si>
  <si>
    <t>Iyer</t>
  </si>
  <si>
    <t>INDEX()</t>
  </si>
  <si>
    <t>Gupta</t>
  </si>
  <si>
    <t>Verma</t>
  </si>
  <si>
    <t>STUDYTABLE</t>
  </si>
  <si>
    <t>MATCH()</t>
  </si>
  <si>
    <t>Joshi</t>
  </si>
  <si>
    <t>Nair</t>
  </si>
  <si>
    <t>Pen Set</t>
  </si>
  <si>
    <t>NAME</t>
  </si>
  <si>
    <t>VALUE</t>
  </si>
  <si>
    <t>Column1</t>
  </si>
  <si>
    <t>Column2</t>
  </si>
  <si>
    <t>Mehta</t>
  </si>
  <si>
    <t>Headphones</t>
  </si>
  <si>
    <t>Apple</t>
  </si>
  <si>
    <t>apple</t>
  </si>
  <si>
    <t>Choudhary</t>
  </si>
  <si>
    <t>Lunch Box</t>
  </si>
  <si>
    <t>Orange</t>
  </si>
  <si>
    <t>orange</t>
  </si>
  <si>
    <t>Bansal</t>
  </si>
  <si>
    <t>Smartphone Stand</t>
  </si>
  <si>
    <t>Banana</t>
  </si>
  <si>
    <t>banana</t>
  </si>
  <si>
    <t>Pillai</t>
  </si>
  <si>
    <t>Whiteboard</t>
  </si>
  <si>
    <t>Mango</t>
  </si>
  <si>
    <t>mango</t>
  </si>
  <si>
    <t>Yadav</t>
  </si>
  <si>
    <t>Power Bank</t>
  </si>
  <si>
    <t>Grapes</t>
  </si>
  <si>
    <t>grapes</t>
  </si>
  <si>
    <t>Roy</t>
  </si>
  <si>
    <t>Sofa Cushion</t>
  </si>
  <si>
    <t>Mishra</t>
  </si>
  <si>
    <t>Table Clock</t>
  </si>
  <si>
    <t>Home Decor</t>
  </si>
  <si>
    <t>Agarwal</t>
  </si>
  <si>
    <t>USB Cable</t>
  </si>
  <si>
    <t>COUNT()</t>
  </si>
  <si>
    <t>COUNTA()</t>
  </si>
  <si>
    <t>COUNTBLANK()</t>
  </si>
  <si>
    <t>COUNTIF()</t>
  </si>
  <si>
    <t>COUNTIFS()</t>
  </si>
  <si>
    <t>CORRELATION()</t>
  </si>
  <si>
    <t>Category-wise Total Price</t>
  </si>
  <si>
    <t>Category-wise Count</t>
  </si>
  <si>
    <t>Top Products</t>
  </si>
  <si>
    <t>Sum of Price</t>
  </si>
  <si>
    <t>Sum of SL No</t>
  </si>
  <si>
    <t>MEAN()</t>
  </si>
  <si>
    <t>MODE()</t>
  </si>
  <si>
    <t>MEDIAN()</t>
  </si>
  <si>
    <t>STDEV.P</t>
  </si>
  <si>
    <t>STDEV.S()</t>
  </si>
  <si>
    <t>VARIANCE.P()</t>
  </si>
  <si>
    <t>VARIANCE.S()</t>
  </si>
  <si>
    <t>File Folder</t>
  </si>
  <si>
    <t>LOGICAL FUNCTIONS</t>
  </si>
  <si>
    <t>Grand Total</t>
  </si>
  <si>
    <t>MARKS</t>
  </si>
  <si>
    <t>RESULT(IF)</t>
  </si>
  <si>
    <t>IF ELSE</t>
  </si>
  <si>
    <t>COMPLEX IF</t>
  </si>
  <si>
    <t>OR()</t>
  </si>
  <si>
    <t>RESULT OR</t>
  </si>
  <si>
    <t>AND()</t>
  </si>
  <si>
    <t>RESULT AND</t>
  </si>
  <si>
    <t>NOT()</t>
  </si>
  <si>
    <t>XOR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</si>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</sst>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24"/>
      <color rgb="FFFF33CC"/>
      <name val="Algerian"/>
    </font>
    <font>
      <sz val="14"/>
      <color rgb="FFC65911"/>
      <name val="Algerian"/>
    </font>
    <font>
      <b/>
      <sz val="14"/>
      <color rgb="FFC65911"/>
      <name val="Times New Roman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</font>
    <font>
      <b/>
      <sz val="12"/>
      <color rgb="FFC65911"/>
      <name val="Times New Roman"/>
    </font>
    <font>
      <sz val="12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rgb="FF000000"/>
      <name val="Times New Roman"/>
    </font>
    <font>
      <sz val="11"/>
      <color rgb="FFC00000"/>
      <name val="Calibri"/>
      <family val="2"/>
      <scheme val="minor"/>
    </font>
    <font>
      <sz val="12"/>
      <color rgb="FFC00000"/>
      <name val="Times New Roman"/>
    </font>
    <font>
      <sz val="20"/>
      <color rgb="FFFF33CC"/>
      <name val="Algerian"/>
    </font>
    <font>
      <sz val="20"/>
      <color rgb="FFFF33CC"/>
      <name val="Algerian"/>
      <charset val="1"/>
    </font>
    <font>
      <sz val="12"/>
      <color rgb="FF00B050"/>
      <name val="Times New Roman"/>
    </font>
    <font>
      <sz val="11"/>
      <color rgb="FF00B0F0"/>
      <name val="Calibri"/>
      <family val="2"/>
      <scheme val="minor"/>
    </font>
    <font>
      <sz val="24"/>
      <color rgb="FF00B050"/>
      <name val="ADLaM Display"/>
    </font>
    <font>
      <sz val="11"/>
      <color rgb="FF0070C0"/>
      <name val="Calibri"/>
      <family val="2"/>
      <scheme val="minor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double">
        <color theme="9" tint="-0.249977111117893"/>
      </left>
      <right/>
      <top style="double">
        <color theme="9" tint="-0.249977111117893"/>
      </top>
      <bottom/>
      <diagonal/>
    </border>
    <border>
      <left/>
      <right/>
      <top style="double">
        <color theme="9" tint="-0.249977111117893"/>
      </top>
      <bottom/>
      <diagonal/>
    </border>
    <border>
      <left/>
      <right style="double">
        <color theme="9" tint="-0.249977111117893"/>
      </right>
      <top style="double">
        <color theme="9" tint="-0.249977111117893"/>
      </top>
      <bottom/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/>
      <top style="double">
        <color rgb="FFC00000"/>
      </top>
      <bottom/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theme="9" tint="-0.249977111117893"/>
      </left>
      <right/>
      <top/>
      <bottom/>
      <diagonal/>
    </border>
    <border>
      <left/>
      <right style="double">
        <color theme="9" tint="-0.249977111117893"/>
      </right>
      <top/>
      <bottom/>
      <diagonal/>
    </border>
    <border>
      <left style="double">
        <color rgb="FFC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uble">
        <color rgb="FFC00000"/>
      </right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/>
      <top/>
      <bottom style="double">
        <color rgb="FFC00000"/>
      </bottom>
      <diagonal/>
    </border>
    <border>
      <left/>
      <right style="double">
        <color rgb="FFC00000"/>
      </right>
      <top/>
      <bottom style="double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double">
        <color rgb="FFFF33CC"/>
      </left>
      <right/>
      <top style="double">
        <color rgb="FFFF33CC"/>
      </top>
      <bottom/>
      <diagonal/>
    </border>
    <border>
      <left/>
      <right/>
      <top style="double">
        <color rgb="FFFF33CC"/>
      </top>
      <bottom/>
      <diagonal/>
    </border>
    <border>
      <left/>
      <right style="double">
        <color rgb="FFFF33CC"/>
      </right>
      <top style="double">
        <color rgb="FFFF33CC"/>
      </top>
      <bottom/>
      <diagonal/>
    </border>
    <border>
      <left style="double">
        <color rgb="FFFF33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33CC"/>
      </right>
      <top style="thin">
        <color rgb="FF000000"/>
      </top>
      <bottom style="thin">
        <color rgb="FF000000"/>
      </bottom>
      <diagonal/>
    </border>
    <border>
      <left/>
      <right style="double">
        <color rgb="FFFF33CC"/>
      </right>
      <top/>
      <bottom/>
      <diagonal/>
    </border>
    <border>
      <left style="double">
        <color rgb="FFFF33CC"/>
      </left>
      <right/>
      <top/>
      <bottom style="double">
        <color rgb="FFFF33CC"/>
      </bottom>
      <diagonal/>
    </border>
    <border>
      <left/>
      <right/>
      <top/>
      <bottom style="double">
        <color rgb="FFFF33CC"/>
      </bottom>
      <diagonal/>
    </border>
    <border>
      <left/>
      <right style="double">
        <color rgb="FFFF33CC"/>
      </right>
      <top/>
      <bottom style="double">
        <color rgb="FFFF33CC"/>
      </bottom>
      <diagonal/>
    </border>
    <border>
      <left style="double">
        <color theme="9" tint="-0.249977111117893"/>
      </left>
      <right/>
      <top/>
      <bottom style="double">
        <color theme="9" tint="-0.249977111117893"/>
      </bottom>
      <diagonal/>
    </border>
    <border>
      <left/>
      <right/>
      <top/>
      <bottom style="double">
        <color theme="9" tint="-0.249977111117893"/>
      </bottom>
      <diagonal/>
    </border>
    <border>
      <left/>
      <right style="double">
        <color theme="9" tint="-0.249977111117893"/>
      </right>
      <top/>
      <bottom style="double">
        <color theme="9" tint="-0.249977111117893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3" fillId="0" borderId="0" xfId="0" applyFont="1"/>
    <xf numFmtId="0" fontId="0" fillId="0" borderId="8" xfId="0" applyBorder="1"/>
    <xf numFmtId="0" fontId="0" fillId="0" borderId="9" xfId="0" applyBorder="1"/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12" xfId="0" applyFont="1" applyBorder="1"/>
    <xf numFmtId="0" fontId="0" fillId="0" borderId="13" xfId="0" applyBorder="1"/>
    <xf numFmtId="0" fontId="0" fillId="0" borderId="14" xfId="0" applyBorder="1"/>
    <xf numFmtId="0" fontId="12" fillId="0" borderId="0" xfId="0" applyFont="1"/>
    <xf numFmtId="0" fontId="13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4" fillId="0" borderId="19" xfId="0" applyFont="1" applyBorder="1"/>
    <xf numFmtId="0" fontId="14" fillId="0" borderId="20" xfId="0" applyFont="1" applyBorder="1"/>
    <xf numFmtId="0" fontId="0" fillId="0" borderId="21" xfId="0" applyBorder="1"/>
    <xf numFmtId="0" fontId="14" fillId="0" borderId="21" xfId="0" applyFont="1" applyBorder="1"/>
    <xf numFmtId="0" fontId="14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5" fillId="0" borderId="30" xfId="0" applyFont="1" applyBorder="1"/>
    <xf numFmtId="0" fontId="15" fillId="0" borderId="31" xfId="0" applyFont="1" applyBorder="1"/>
    <xf numFmtId="0" fontId="0" fillId="0" borderId="32" xfId="0" applyBorder="1"/>
    <xf numFmtId="0" fontId="15" fillId="0" borderId="32" xfId="0" applyFont="1" applyBorder="1"/>
    <xf numFmtId="0" fontId="15" fillId="0" borderId="33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6" fillId="0" borderId="0" xfId="0" applyFont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7" fillId="0" borderId="0" xfId="0" applyFont="1"/>
    <xf numFmtId="0" fontId="17" fillId="0" borderId="46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</cellXfs>
  <cellStyles count="1">
    <cellStyle name="Normal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</dxf>
    <dxf>
      <font>
        <color rgb="FFC00000"/>
      </font>
      <alignment horizontal="center" vertical="bottom" textRotation="0" wrapText="0" indent="0" justifyLastLine="0" shrinkToFit="0" readingOrder="0"/>
    </dxf>
    <dxf>
      <font>
        <color rgb="FFC00000"/>
      </font>
      <alignment horizontal="center" vertical="bottom" textRotation="0" wrapText="0" indent="0" justifyLastLine="0" shrinkToFit="0" readingOrder="0"/>
    </dxf>
    <dxf>
      <font>
        <color rgb="FFC0000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'[2]MODULE 2_2'!$C$33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Home &amp; Kitchen</c:v>
              </c:pt>
              <c:pt idx="4">
                <c:v>Home Decor</c:v>
              </c:pt>
              <c:pt idx="5">
                <c:v>Stationery</c:v>
              </c:pt>
            </c:strLit>
          </c:cat>
          <c:val>
            <c:numLit>
              <c:formatCode>General</c:formatCode>
              <c:ptCount val="6"/>
              <c:pt idx="0">
                <c:v>1548</c:v>
              </c:pt>
              <c:pt idx="1">
                <c:v>9693</c:v>
              </c:pt>
              <c:pt idx="2">
                <c:v>13097</c:v>
              </c:pt>
              <c:pt idx="3">
                <c:v>847</c:v>
              </c:pt>
              <c:pt idx="4">
                <c:v>699</c:v>
              </c:pt>
              <c:pt idx="5">
                <c:v>1176</c:v>
              </c:pt>
            </c:numLit>
          </c:val>
          <c:extLst>
            <c:ext xmlns:c16="http://schemas.microsoft.com/office/drawing/2014/chart" uri="{C3380CC4-5D6E-409C-BE32-E72D297353CC}">
              <c16:uniqueId val="{00000000-BB45-4B3A-AB92-8FB9D92BC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498184"/>
        <c:axId val="1312500232"/>
      </c:barChart>
      <c:catAx>
        <c:axId val="131249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00232"/>
        <c:crosses val="autoZero"/>
        <c:auto val="1"/>
        <c:lblAlgn val="ctr"/>
        <c:lblOffset val="100"/>
        <c:noMultiLvlLbl val="0"/>
      </c:catAx>
      <c:valAx>
        <c:axId val="131250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9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'[2]MODULE 2_2'!$K$33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Home &amp; Kitchen</c:v>
              </c:pt>
              <c:pt idx="4">
                <c:v>Home Decor</c:v>
              </c:pt>
              <c:pt idx="5">
                <c:v>Stationery</c:v>
              </c:pt>
            </c:strLit>
          </c:cat>
          <c:val>
            <c:numLit>
              <c:formatCode>General</c:formatCode>
              <c:ptCount val="6"/>
              <c:pt idx="0">
                <c:v>21</c:v>
              </c:pt>
              <c:pt idx="1">
                <c:v>65</c:v>
              </c:pt>
              <c:pt idx="2">
                <c:v>32</c:v>
              </c:pt>
              <c:pt idx="3">
                <c:v>24</c:v>
              </c:pt>
              <c:pt idx="4">
                <c:v>18</c:v>
              </c:pt>
              <c:pt idx="5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2D13-435E-A6CC-3BB18ADB5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9789320"/>
        <c:axId val="1179791368"/>
      </c:barChart>
      <c:catAx>
        <c:axId val="117978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91368"/>
        <c:crosses val="autoZero"/>
        <c:auto val="1"/>
        <c:lblAlgn val="ctr"/>
        <c:lblOffset val="100"/>
        <c:noMultiLvlLbl val="0"/>
      </c:catAx>
      <c:valAx>
        <c:axId val="117979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8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B0F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00B0F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00B0F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'[2]MODULE 2_2'!$S$33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Lit>
              <c:ptCount val="20"/>
              <c:pt idx="0">
                <c:v>Backpack</c:v>
              </c:pt>
              <c:pt idx="1">
                <c:v>Bluetooth Speaker</c:v>
              </c:pt>
              <c:pt idx="2">
                <c:v>Coffee Mug</c:v>
              </c:pt>
              <c:pt idx="3">
                <c:v>File Folder</c:v>
              </c:pt>
              <c:pt idx="4">
                <c:v>Headphones</c:v>
              </c:pt>
              <c:pt idx="5">
                <c:v>LED Desk Lamp</c:v>
              </c:pt>
              <c:pt idx="6">
                <c:v>Lunch Box</c:v>
              </c:pt>
              <c:pt idx="7">
                <c:v>Mechanical Keyboard</c:v>
              </c:pt>
              <c:pt idx="8">
                <c:v>Notebook</c:v>
              </c:pt>
              <c:pt idx="9">
                <c:v>Office Chair</c:v>
              </c:pt>
              <c:pt idx="10">
                <c:v>Pen Set</c:v>
              </c:pt>
              <c:pt idx="11">
                <c:v>Power Bank</c:v>
              </c:pt>
              <c:pt idx="12">
                <c:v>Smartphone Stand</c:v>
              </c:pt>
              <c:pt idx="13">
                <c:v>Sofa Cushion</c:v>
              </c:pt>
              <c:pt idx="14">
                <c:v>Study Table</c:v>
              </c:pt>
              <c:pt idx="15">
                <c:v>Table Clock</c:v>
              </c:pt>
              <c:pt idx="16">
                <c:v>USB Cable</c:v>
              </c:pt>
              <c:pt idx="17">
                <c:v>Water Bottle</c:v>
              </c:pt>
              <c:pt idx="18">
                <c:v>Whiteboard</c:v>
              </c:pt>
              <c:pt idx="19">
                <c:v>Wireless Mouse</c:v>
              </c:pt>
            </c:strLit>
          </c:cat>
          <c:val>
            <c:numLit>
              <c:formatCode>General</c:formatCode>
              <c:ptCount val="20"/>
              <c:pt idx="0">
                <c:v>1299</c:v>
              </c:pt>
              <c:pt idx="1">
                <c:v>1799</c:v>
              </c:pt>
              <c:pt idx="2">
                <c:v>199</c:v>
              </c:pt>
              <c:pt idx="3">
                <c:v>129</c:v>
              </c:pt>
              <c:pt idx="4">
                <c:v>2199</c:v>
              </c:pt>
              <c:pt idx="5">
                <c:v>899</c:v>
              </c:pt>
              <c:pt idx="6">
                <c:v>349</c:v>
              </c:pt>
              <c:pt idx="7">
                <c:v>2499</c:v>
              </c:pt>
              <c:pt idx="8">
                <c:v>99</c:v>
              </c:pt>
              <c:pt idx="9">
                <c:v>5499</c:v>
              </c:pt>
              <c:pt idx="10">
                <c:v>149</c:v>
              </c:pt>
              <c:pt idx="11">
                <c:v>1499</c:v>
              </c:pt>
              <c:pt idx="12">
                <c:v>249</c:v>
              </c:pt>
              <c:pt idx="13">
                <c:v>599</c:v>
              </c:pt>
              <c:pt idx="14">
                <c:v>6999</c:v>
              </c:pt>
              <c:pt idx="15">
                <c:v>699</c:v>
              </c:pt>
              <c:pt idx="16">
                <c:v>199</c:v>
              </c:pt>
              <c:pt idx="17">
                <c:v>299</c:v>
              </c:pt>
              <c:pt idx="18">
                <c:v>799</c:v>
              </c:pt>
              <c:pt idx="19">
                <c:v>599</c:v>
              </c:pt>
            </c:numLit>
          </c:val>
          <c:extLst>
            <c:ext xmlns:c16="http://schemas.microsoft.com/office/drawing/2014/chart" uri="{C3380CC4-5D6E-409C-BE32-E72D297353CC}">
              <c16:uniqueId val="{00000000-1FEB-43EB-A7C8-832B5FAFE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941576"/>
        <c:axId val="1696936968"/>
      </c:barChart>
      <c:catAx>
        <c:axId val="169694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36968"/>
        <c:crosses val="autoZero"/>
        <c:auto val="1"/>
        <c:lblAlgn val="ctr"/>
        <c:lblOffset val="100"/>
        <c:noMultiLvlLbl val="0"/>
      </c:catAx>
      <c:valAx>
        <c:axId val="16969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B05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4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31</xdr:row>
      <xdr:rowOff>76200</xdr:rowOff>
    </xdr:from>
    <xdr:to>
      <xdr:col>7</xdr:col>
      <xdr:colOff>1171575</xdr:colOff>
      <xdr:row>45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E6191-49E6-4DCB-BEB4-2F64203E4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31</xdr:row>
      <xdr:rowOff>180975</xdr:rowOff>
    </xdr:from>
    <xdr:to>
      <xdr:col>16</xdr:col>
      <xdr:colOff>285750</xdr:colOff>
      <xdr:row>46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5FAB9-108D-4DE1-B6FB-E27A4A99F773}"/>
            </a:ext>
            <a:ext uri="{147F2762-F138-4A5C-976F-8EAC2B608ADB}">
              <a16:predDERef xmlns:a16="http://schemas.microsoft.com/office/drawing/2014/main" pred="{4BEE6191-49E6-4DCB-BEB4-2F64203E4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171450</xdr:colOff>
      <xdr:row>33</xdr:row>
      <xdr:rowOff>38100</xdr:rowOff>
    </xdr:from>
    <xdr:to>
      <xdr:col>24</xdr:col>
      <xdr:colOff>57150</xdr:colOff>
      <xdr:row>47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D8CA2-829A-44F7-9849-4A23F42A71CB}"/>
            </a:ext>
            <a:ext uri="{147F2762-F138-4A5C-976F-8EAC2B608ADB}">
              <a16:predDERef xmlns:a16="http://schemas.microsoft.com/office/drawing/2014/main" pred="{77C5FAB9-108D-4DE1-B6FB-E27A4A99F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tachments/MODULE-2(EXCEL,adv%20excel)%201%20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kboo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 2_2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 2_2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B29CD-3254-4883-A77B-080BA1BE1F81}" name="Table5" displayName="Table5" ref="B7:E26" totalsRowShown="0" headerRowDxfId="35" headerRowBorderDxfId="33" tableBorderDxfId="34" totalsRowBorderDxfId="32">
  <autoFilter ref="B7:E26" xr:uid="{FAEB29CD-3254-4883-A77B-080BA1BE1F81}"/>
  <sortState xmlns:xlrd2="http://schemas.microsoft.com/office/spreadsheetml/2017/richdata2" ref="B8:E26">
    <sortCondition ref="B7:B26"/>
  </sortState>
  <tableColumns count="4">
    <tableColumn id="1" xr3:uid="{3912CB6E-8E89-49C9-A374-AAFF021045D2}" name="SL No" dataDxfId="31"/>
    <tableColumn id="2" xr3:uid="{9D73522E-75CF-4809-B592-1F44A3EC3E2C}" name="Description" dataDxfId="30"/>
    <tableColumn id="3" xr3:uid="{F0A710FA-E240-4E96-B17F-DAC39C69B824}" name="Type" dataDxfId="29"/>
    <tableColumn id="4" xr3:uid="{6480EA3D-065A-4E8C-A0FA-C5E75DF2812F}" name="Price" dataDxfId="2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9E35F-3818-4509-8973-709E52508A6F}" name="Table10" displayName="Table10" ref="L7:V10" totalsRowShown="0" headerRowDxfId="27" headerRowBorderDxfId="25" tableBorderDxfId="26" totalsRowBorderDxfId="24">
  <autoFilter ref="L7:V10" xr:uid="{C319E35F-3818-4509-8973-709E52508A6F}"/>
  <tableColumns count="11">
    <tableColumn id="1" xr3:uid="{C10A49BD-F847-4770-B319-4ED5163DCC7C}" name="SL No" dataDxfId="23"/>
    <tableColumn id="2" xr3:uid="{7F9DA451-0DA1-4E5A-8EFD-E074A9C4E8AE}" name="1"/>
    <tableColumn id="3" xr3:uid="{14BBF9CA-0DB8-4D6A-BDDC-566400EA3179}" name="2"/>
    <tableColumn id="4" xr3:uid="{76406E4E-3139-4775-8AEB-56FF96438150}" name="3"/>
    <tableColumn id="5" xr3:uid="{0C8B2A4A-2217-4182-A610-6CD6D531396F}" name="4"/>
    <tableColumn id="6" xr3:uid="{847053F2-541D-432E-A682-1B377264643C}" name="5"/>
    <tableColumn id="7" xr3:uid="{3CFE3F74-E0B4-49D9-9C8A-57B6DB7C2260}" name="6"/>
    <tableColumn id="8" xr3:uid="{2EC40595-3465-432E-BAC6-925DB7BF2637}" name="7"/>
    <tableColumn id="9" xr3:uid="{4D8FA7CF-27EE-43CC-B7D2-DB2B6A8D51C2}" name="8"/>
    <tableColumn id="10" xr3:uid="{21227F77-D0F5-4D26-970B-493496780C8A}" name="9"/>
    <tableColumn id="11" xr3:uid="{1BDC8402-C4B5-43AF-9F73-9397CC37A000}" name="1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C35AEB-7275-470E-A9F5-1DF06B455E3F}" name="Table12" displayName="Table12" ref="L18:M23" totalsRowShown="0" headerRowDxfId="22" dataDxfId="21" tableBorderDxfId="20">
  <autoFilter ref="L18:M23" xr:uid="{93C35AEB-7275-470E-A9F5-1DF06B455E3F}"/>
  <tableColumns count="2">
    <tableColumn id="1" xr3:uid="{7920B7D5-6D04-425A-ADF3-607860C8A611}" name="NAME" dataDxfId="19"/>
    <tableColumn id="2" xr3:uid="{6E30D13F-D8AC-445D-9DEB-D4E71B73590C}" name="VALUE" dataDxfId="18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87611E-96B4-43F0-82D8-B6F30B8D9380}" name="Table13" displayName="Table13" ref="O18:P23" totalsRowShown="0" headerRowDxfId="17" dataDxfId="16">
  <autoFilter ref="O18:P23" xr:uid="{3887611E-96B4-43F0-82D8-B6F30B8D9380}"/>
  <tableColumns count="2">
    <tableColumn id="1" xr3:uid="{EFAB1827-4FB1-4E9E-BC5B-21A5356D9A2B}" name="Column1" dataDxfId="15"/>
    <tableColumn id="2" xr3:uid="{1DFD4C6B-305C-48F8-B709-04F4CE3EB65F}" name="Column2" dataDxfId="14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394A13-FF5A-4A15-AA87-FBC97BF24EC9}" name="Table14" displayName="Table14" ref="AC5:AN25" totalsRowShown="0" headerRowDxfId="13" dataDxfId="12">
  <autoFilter ref="AC5:AN25" xr:uid="{6F394A13-FF5A-4A15-AA87-FBC97BF24EC9}"/>
  <tableColumns count="12">
    <tableColumn id="1" xr3:uid="{A2328208-3194-4966-80C6-C716D9E87997}" name="CustomerID" dataDxfId="11"/>
    <tableColumn id="2" xr3:uid="{59F27944-2BA7-4DD7-BC4F-8AA5C9B94A7C}" name="Surname" dataDxfId="10"/>
    <tableColumn id="3" xr3:uid="{9A942970-79D7-4DA6-BB98-2194B3F46ADC}" name="CreditScore" dataDxfId="9"/>
    <tableColumn id="4" xr3:uid="{9AF41B21-0B64-42A7-BBFD-D0CB4DA73F96}" name="Gender" dataDxfId="8"/>
    <tableColumn id="5" xr3:uid="{A6B5A497-7DC5-428A-A57C-5A35EE8221FD}" name="Age" dataDxfId="7"/>
    <tableColumn id="6" xr3:uid="{4A11DCAA-878D-4CF1-830F-18DED4B9BA37}" name="Tenure" dataDxfId="6"/>
    <tableColumn id="7" xr3:uid="{1D022A90-86EF-435E-ACC1-A324C3B75DE7}" name="Balance" dataDxfId="5"/>
    <tableColumn id="8" xr3:uid="{F725818F-05CF-425D-8B57-4C3C83A51D07}" name="NumOfProducts" dataDxfId="4"/>
    <tableColumn id="9" xr3:uid="{354A39D5-800E-4459-8788-B6E256CC5920}" name="HasCrCard" dataDxfId="3"/>
    <tableColumn id="10" xr3:uid="{21118319-A7B2-4B8D-8E5A-9D3B5D702F22}" name="IsActiveMember" dataDxfId="2"/>
    <tableColumn id="11" xr3:uid="{9FC7877D-4E1E-42EA-A759-2AB3C16DE7C9}" name="EstimatedSalary" dataDxfId="1"/>
    <tableColumn id="12" xr3:uid="{2085AF3B-1ACD-4925-B587-300A2FB6E5B0}" name="Exited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DA8C-95D5-4EA5-8B74-38D03F8BC31A}">
  <dimension ref="A3:AO63"/>
  <sheetViews>
    <sheetView tabSelected="1" workbookViewId="0"/>
  </sheetViews>
  <sheetFormatPr defaultRowHeight="15"/>
  <cols>
    <col min="2" max="2" width="11.5703125" customWidth="1"/>
    <col min="3" max="3" width="21.85546875" customWidth="1"/>
    <col min="4" max="4" width="23.5703125" customWidth="1"/>
    <col min="5" max="5" width="12" customWidth="1"/>
    <col min="7" max="7" width="14.28515625" customWidth="1"/>
    <col min="8" max="8" width="18" customWidth="1"/>
    <col min="10" max="10" width="13.5703125" customWidth="1"/>
    <col min="12" max="12" width="12.140625" customWidth="1"/>
    <col min="13" max="13" width="15.140625" customWidth="1"/>
    <col min="14" max="14" width="20.28515625" customWidth="1"/>
    <col min="15" max="15" width="17.42578125" customWidth="1"/>
    <col min="16" max="16" width="13.5703125" customWidth="1"/>
    <col min="17" max="17" width="11.5703125" customWidth="1"/>
    <col min="18" max="18" width="14.42578125" bestFit="1" customWidth="1"/>
    <col min="19" max="19" width="11.140625" bestFit="1" customWidth="1"/>
    <col min="20" max="20" width="15.5703125" bestFit="1" customWidth="1"/>
    <col min="21" max="21" width="17.5703125" bestFit="1" customWidth="1"/>
    <col min="22" max="22" width="12.28515625" customWidth="1"/>
    <col min="29" max="29" width="14.5703125" customWidth="1"/>
    <col min="30" max="30" width="13.28515625" customWidth="1"/>
    <col min="31" max="31" width="13.7109375" customWidth="1"/>
    <col min="32" max="32" width="12.85546875" customWidth="1"/>
    <col min="33" max="33" width="20.140625" customWidth="1"/>
    <col min="35" max="35" width="12.85546875" customWidth="1"/>
    <col min="36" max="36" width="11.28515625" customWidth="1"/>
    <col min="37" max="37" width="13.42578125" customWidth="1"/>
    <col min="38" max="38" width="16" customWidth="1"/>
    <col min="39" max="39" width="18.85546875" customWidth="1"/>
  </cols>
  <sheetData>
    <row r="3" spans="1:41" ht="30">
      <c r="G3" s="1" t="s">
        <v>0</v>
      </c>
      <c r="AG3" s="1" t="s">
        <v>1</v>
      </c>
    </row>
    <row r="4" spans="1:4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  <c r="AB4" s="5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</row>
    <row r="5" spans="1:41" ht="18.75">
      <c r="A5" s="8"/>
      <c r="B5" s="9" t="s">
        <v>2</v>
      </c>
      <c r="L5" s="10" t="s">
        <v>3</v>
      </c>
      <c r="Z5" s="11"/>
      <c r="AB5" s="12"/>
      <c r="AC5" s="13" t="s">
        <v>4</v>
      </c>
      <c r="AD5" s="14" t="s">
        <v>5</v>
      </c>
      <c r="AE5" s="14" t="s">
        <v>6</v>
      </c>
      <c r="AF5" s="14" t="s">
        <v>7</v>
      </c>
      <c r="AG5" s="14" t="s">
        <v>8</v>
      </c>
      <c r="AH5" s="14" t="s">
        <v>9</v>
      </c>
      <c r="AI5" s="14" t="s">
        <v>10</v>
      </c>
      <c r="AJ5" s="14" t="s">
        <v>11</v>
      </c>
      <c r="AK5" s="14" t="s">
        <v>12</v>
      </c>
      <c r="AL5" s="14" t="s">
        <v>13</v>
      </c>
      <c r="AM5" s="14" t="s">
        <v>14</v>
      </c>
      <c r="AN5" s="14" t="s">
        <v>15</v>
      </c>
      <c r="AO5" s="15"/>
    </row>
    <row r="6" spans="1:41">
      <c r="A6" s="8"/>
      <c r="Z6" s="11"/>
      <c r="AB6" s="12"/>
      <c r="AC6" s="16">
        <v>1001</v>
      </c>
      <c r="AD6" s="16" t="s">
        <v>16</v>
      </c>
      <c r="AE6" s="16">
        <v>650</v>
      </c>
      <c r="AF6" s="16" t="s">
        <v>17</v>
      </c>
      <c r="AG6" s="16">
        <v>35</v>
      </c>
      <c r="AH6" s="16">
        <v>5</v>
      </c>
      <c r="AI6" s="16">
        <v>50000</v>
      </c>
      <c r="AJ6" s="16">
        <v>2</v>
      </c>
      <c r="AK6" s="16">
        <v>1</v>
      </c>
      <c r="AL6" s="16">
        <v>1</v>
      </c>
      <c r="AM6" s="16">
        <v>60000</v>
      </c>
      <c r="AN6" s="16">
        <v>0</v>
      </c>
      <c r="AO6" s="15"/>
    </row>
    <row r="7" spans="1:41" ht="15.75">
      <c r="A7" s="8"/>
      <c r="B7" s="17" t="s">
        <v>18</v>
      </c>
      <c r="C7" s="17" t="s">
        <v>19</v>
      </c>
      <c r="D7" s="17" t="s">
        <v>20</v>
      </c>
      <c r="E7" s="17" t="s">
        <v>21</v>
      </c>
      <c r="H7" s="18" t="s">
        <v>2</v>
      </c>
      <c r="I7" s="19"/>
      <c r="L7" s="20" t="s">
        <v>18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Z7" s="11"/>
      <c r="AB7" s="12"/>
      <c r="AC7" s="16">
        <v>1002</v>
      </c>
      <c r="AD7" s="16" t="s">
        <v>32</v>
      </c>
      <c r="AE7" s="16">
        <v>720</v>
      </c>
      <c r="AF7" s="16" t="s">
        <v>33</v>
      </c>
      <c r="AG7" s="16">
        <v>42</v>
      </c>
      <c r="AH7" s="16">
        <v>7</v>
      </c>
      <c r="AI7" s="16">
        <v>70000</v>
      </c>
      <c r="AJ7" s="16">
        <v>1</v>
      </c>
      <c r="AK7" s="16">
        <v>1</v>
      </c>
      <c r="AL7" s="16">
        <v>0</v>
      </c>
      <c r="AM7" s="16">
        <v>75000</v>
      </c>
      <c r="AN7" s="16">
        <v>1</v>
      </c>
      <c r="AO7" s="15"/>
    </row>
    <row r="8" spans="1:41" ht="15.75">
      <c r="A8" s="8"/>
      <c r="B8" s="21">
        <v>1</v>
      </c>
      <c r="C8" s="21" t="s">
        <v>34</v>
      </c>
      <c r="D8" s="21" t="s">
        <v>35</v>
      </c>
      <c r="E8" s="21">
        <v>599</v>
      </c>
      <c r="H8" s="19"/>
      <c r="I8" s="19"/>
      <c r="L8" s="20" t="s">
        <v>19</v>
      </c>
      <c r="M8" t="s">
        <v>34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  <c r="T8" t="s">
        <v>42</v>
      </c>
      <c r="U8" t="s">
        <v>43</v>
      </c>
      <c r="V8" t="s">
        <v>44</v>
      </c>
      <c r="Z8" s="11"/>
      <c r="AB8" s="12"/>
      <c r="AC8" s="16">
        <v>1003</v>
      </c>
      <c r="AD8" s="16" t="s">
        <v>45</v>
      </c>
      <c r="AE8" s="16">
        <v>580</v>
      </c>
      <c r="AF8" s="16" t="s">
        <v>17</v>
      </c>
      <c r="AG8" s="16">
        <v>29</v>
      </c>
      <c r="AH8" s="16">
        <v>3</v>
      </c>
      <c r="AI8" s="16">
        <v>30000</v>
      </c>
      <c r="AJ8" s="16">
        <v>2</v>
      </c>
      <c r="AK8" s="16">
        <v>0</v>
      </c>
      <c r="AL8" s="16">
        <v>1</v>
      </c>
      <c r="AM8" s="16">
        <v>45000</v>
      </c>
      <c r="AN8" s="16">
        <v>0</v>
      </c>
      <c r="AO8" s="15"/>
    </row>
    <row r="9" spans="1:41" ht="15.75">
      <c r="A9" s="8"/>
      <c r="B9" s="21">
        <v>2</v>
      </c>
      <c r="C9" s="21" t="s">
        <v>36</v>
      </c>
      <c r="D9" s="21" t="s">
        <v>35</v>
      </c>
      <c r="E9" s="21">
        <v>2499</v>
      </c>
      <c r="H9" s="19" t="s">
        <v>46</v>
      </c>
      <c r="I9" s="19">
        <f>VLOOKUP(C10,C8:E27,3,FALSE)</f>
        <v>299</v>
      </c>
      <c r="L9" s="20" t="s">
        <v>20</v>
      </c>
      <c r="M9" t="s">
        <v>35</v>
      </c>
      <c r="N9" t="s">
        <v>35</v>
      </c>
      <c r="O9" t="s">
        <v>47</v>
      </c>
      <c r="P9" t="s">
        <v>48</v>
      </c>
      <c r="Q9" t="s">
        <v>49</v>
      </c>
      <c r="R9" t="s">
        <v>35</v>
      </c>
      <c r="S9" t="s">
        <v>50</v>
      </c>
      <c r="T9" t="s">
        <v>47</v>
      </c>
      <c r="U9" t="s">
        <v>35</v>
      </c>
      <c r="V9" t="s">
        <v>49</v>
      </c>
      <c r="Z9" s="11"/>
      <c r="AB9" s="12"/>
      <c r="AC9" s="16">
        <v>1004</v>
      </c>
      <c r="AD9" s="16" t="s">
        <v>51</v>
      </c>
      <c r="AE9" s="16">
        <v>690</v>
      </c>
      <c r="AF9" s="16" t="s">
        <v>33</v>
      </c>
      <c r="AG9" s="16">
        <v>50</v>
      </c>
      <c r="AH9" s="16">
        <v>9</v>
      </c>
      <c r="AI9" s="16">
        <v>90000</v>
      </c>
      <c r="AJ9" s="16">
        <v>3</v>
      </c>
      <c r="AK9" s="16">
        <v>1</v>
      </c>
      <c r="AL9" s="16">
        <v>1</v>
      </c>
      <c r="AM9" s="16">
        <v>85000</v>
      </c>
      <c r="AN9" s="16">
        <v>1</v>
      </c>
      <c r="AO9" s="15"/>
    </row>
    <row r="10" spans="1:41" ht="15.75">
      <c r="A10" s="8"/>
      <c r="B10" s="21">
        <v>3</v>
      </c>
      <c r="C10" s="21" t="s">
        <v>37</v>
      </c>
      <c r="D10" s="21" t="s">
        <v>47</v>
      </c>
      <c r="E10" s="21">
        <v>299</v>
      </c>
      <c r="L10" s="20" t="s">
        <v>21</v>
      </c>
      <c r="M10">
        <v>599</v>
      </c>
      <c r="N10">
        <v>2499</v>
      </c>
      <c r="O10">
        <v>299</v>
      </c>
      <c r="P10">
        <v>99</v>
      </c>
      <c r="Q10">
        <v>5499</v>
      </c>
      <c r="R10">
        <v>899</v>
      </c>
      <c r="S10">
        <v>1299</v>
      </c>
      <c r="T10">
        <v>199</v>
      </c>
      <c r="U10">
        <v>1799</v>
      </c>
      <c r="V10">
        <v>6999</v>
      </c>
      <c r="Z10" s="11"/>
      <c r="AB10" s="12"/>
      <c r="AC10" s="16">
        <v>1005</v>
      </c>
      <c r="AD10" s="16" t="s">
        <v>52</v>
      </c>
      <c r="AE10" s="16">
        <v>610</v>
      </c>
      <c r="AF10" s="16" t="s">
        <v>17</v>
      </c>
      <c r="AG10" s="16">
        <v>31</v>
      </c>
      <c r="AH10" s="16">
        <v>4</v>
      </c>
      <c r="AI10" s="16">
        <v>40000</v>
      </c>
      <c r="AJ10" s="16">
        <v>2</v>
      </c>
      <c r="AK10" s="16">
        <v>1</v>
      </c>
      <c r="AL10" s="16">
        <v>0</v>
      </c>
      <c r="AM10" s="16">
        <v>52000</v>
      </c>
      <c r="AN10" s="16">
        <v>0</v>
      </c>
      <c r="AO10" s="15"/>
    </row>
    <row r="11" spans="1:41" ht="15.75">
      <c r="A11" s="8"/>
      <c r="B11" s="21">
        <v>4</v>
      </c>
      <c r="C11" s="21" t="s">
        <v>38</v>
      </c>
      <c r="D11" s="21" t="s">
        <v>48</v>
      </c>
      <c r="E11" s="21">
        <v>99</v>
      </c>
      <c r="Z11" s="11"/>
      <c r="AB11" s="12"/>
      <c r="AC11" s="16">
        <v>1006</v>
      </c>
      <c r="AD11" s="16" t="s">
        <v>53</v>
      </c>
      <c r="AE11" s="16">
        <v>730</v>
      </c>
      <c r="AF11" s="16" t="s">
        <v>33</v>
      </c>
      <c r="AG11" s="16">
        <v>45</v>
      </c>
      <c r="AH11" s="16">
        <v>8</v>
      </c>
      <c r="AI11" s="16">
        <v>100000</v>
      </c>
      <c r="AJ11" s="16">
        <v>1</v>
      </c>
      <c r="AK11" s="16">
        <v>1</v>
      </c>
      <c r="AL11" s="16">
        <v>1</v>
      </c>
      <c r="AM11" s="16">
        <v>95000</v>
      </c>
      <c r="AN11" s="16">
        <v>1</v>
      </c>
      <c r="AO11" s="15"/>
    </row>
    <row r="12" spans="1:41" ht="15.75">
      <c r="A12" s="8"/>
      <c r="B12" s="21">
        <v>5</v>
      </c>
      <c r="C12" s="21" t="s">
        <v>39</v>
      </c>
      <c r="D12" s="21" t="s">
        <v>49</v>
      </c>
      <c r="E12" s="21">
        <v>5499</v>
      </c>
      <c r="Z12" s="11"/>
      <c r="AB12" s="12"/>
      <c r="AC12" s="16">
        <v>1007</v>
      </c>
      <c r="AD12" s="16" t="s">
        <v>54</v>
      </c>
      <c r="AE12" s="16">
        <v>540</v>
      </c>
      <c r="AF12" s="16" t="s">
        <v>17</v>
      </c>
      <c r="AG12" s="16">
        <v>27</v>
      </c>
      <c r="AH12" s="16">
        <v>2</v>
      </c>
      <c r="AI12" s="16">
        <v>20000</v>
      </c>
      <c r="AJ12" s="16">
        <v>2</v>
      </c>
      <c r="AK12" s="16">
        <v>0</v>
      </c>
      <c r="AL12" s="16">
        <v>0</v>
      </c>
      <c r="AM12" s="16">
        <v>40000</v>
      </c>
      <c r="AN12" s="16">
        <v>0</v>
      </c>
      <c r="AO12" s="15"/>
    </row>
    <row r="13" spans="1:41" ht="15.75">
      <c r="A13" s="8"/>
      <c r="B13" s="21">
        <v>6</v>
      </c>
      <c r="C13" s="21" t="s">
        <v>40</v>
      </c>
      <c r="D13" s="21" t="s">
        <v>35</v>
      </c>
      <c r="E13" s="21">
        <v>899</v>
      </c>
      <c r="L13" t="s">
        <v>55</v>
      </c>
      <c r="N13">
        <f>HLOOKUP(T8,M8:AB10,3,0)</f>
        <v>199</v>
      </c>
      <c r="Z13" s="11"/>
      <c r="AB13" s="12"/>
      <c r="AC13" s="16">
        <v>1008</v>
      </c>
      <c r="AD13" s="16" t="s">
        <v>56</v>
      </c>
      <c r="AE13" s="16">
        <v>800</v>
      </c>
      <c r="AF13" s="16" t="s">
        <v>33</v>
      </c>
      <c r="AG13" s="16">
        <v>38</v>
      </c>
      <c r="AH13" s="16">
        <v>6</v>
      </c>
      <c r="AI13" s="16">
        <v>120000</v>
      </c>
      <c r="AJ13" s="16">
        <v>3</v>
      </c>
      <c r="AK13" s="16">
        <v>1</v>
      </c>
      <c r="AL13" s="16">
        <v>1</v>
      </c>
      <c r="AM13" s="16">
        <v>105000</v>
      </c>
      <c r="AN13" s="16">
        <v>1</v>
      </c>
      <c r="AO13" s="15"/>
    </row>
    <row r="14" spans="1:41" ht="15.75">
      <c r="A14" s="8"/>
      <c r="B14" s="21">
        <v>7</v>
      </c>
      <c r="C14" s="21" t="s">
        <v>41</v>
      </c>
      <c r="D14" s="21" t="s">
        <v>50</v>
      </c>
      <c r="E14" s="21">
        <v>1299</v>
      </c>
      <c r="H14" s="18" t="s">
        <v>57</v>
      </c>
      <c r="Z14" s="11"/>
      <c r="AB14" s="12"/>
      <c r="AC14" s="16">
        <v>1009</v>
      </c>
      <c r="AD14" s="16" t="s">
        <v>58</v>
      </c>
      <c r="AE14" s="16">
        <v>670</v>
      </c>
      <c r="AF14" s="16" t="s">
        <v>17</v>
      </c>
      <c r="AG14" s="16">
        <v>33</v>
      </c>
      <c r="AH14" s="16">
        <v>5</v>
      </c>
      <c r="AI14" s="16">
        <v>55000</v>
      </c>
      <c r="AJ14" s="16">
        <v>2</v>
      </c>
      <c r="AK14" s="16">
        <v>1</v>
      </c>
      <c r="AL14" s="16">
        <v>1</v>
      </c>
      <c r="AM14" s="16">
        <v>62000</v>
      </c>
      <c r="AN14" s="16">
        <v>0</v>
      </c>
      <c r="AO14" s="15"/>
    </row>
    <row r="15" spans="1:41" ht="15.75">
      <c r="A15" s="8"/>
      <c r="B15" s="21">
        <v>8</v>
      </c>
      <c r="C15" s="21" t="s">
        <v>42</v>
      </c>
      <c r="D15" s="21" t="s">
        <v>47</v>
      </c>
      <c r="E15" s="21">
        <v>199</v>
      </c>
      <c r="Z15" s="11"/>
      <c r="AB15" s="12"/>
      <c r="AC15" s="16">
        <v>1010</v>
      </c>
      <c r="AD15" s="16" t="s">
        <v>59</v>
      </c>
      <c r="AE15" s="16">
        <v>710</v>
      </c>
      <c r="AF15" s="16" t="s">
        <v>33</v>
      </c>
      <c r="AG15" s="16">
        <v>41</v>
      </c>
      <c r="AH15" s="16">
        <v>7</v>
      </c>
      <c r="AI15" s="16">
        <v>75000</v>
      </c>
      <c r="AJ15" s="16">
        <v>1</v>
      </c>
      <c r="AK15" s="16">
        <v>1</v>
      </c>
      <c r="AL15" s="16">
        <v>0</v>
      </c>
      <c r="AM15" s="16">
        <v>78000</v>
      </c>
      <c r="AN15" s="16">
        <v>1</v>
      </c>
      <c r="AO15" s="15"/>
    </row>
    <row r="16" spans="1:41" ht="15.75">
      <c r="A16" s="8"/>
      <c r="B16" s="21">
        <v>9</v>
      </c>
      <c r="C16" s="21" t="s">
        <v>43</v>
      </c>
      <c r="D16" s="21" t="s">
        <v>35</v>
      </c>
      <c r="E16" s="21">
        <v>1799</v>
      </c>
      <c r="H16" t="s">
        <v>60</v>
      </c>
      <c r="I16">
        <f>INDEX(C8:E27,10,3)</f>
        <v>6999</v>
      </c>
      <c r="L16" s="22" t="s">
        <v>61</v>
      </c>
      <c r="Z16" s="11"/>
      <c r="AB16" s="12"/>
      <c r="AC16" s="16">
        <v>1011</v>
      </c>
      <c r="AD16" s="16" t="s">
        <v>62</v>
      </c>
      <c r="AE16" s="16">
        <v>600</v>
      </c>
      <c r="AF16" s="16" t="s">
        <v>17</v>
      </c>
      <c r="AG16" s="16">
        <v>30</v>
      </c>
      <c r="AH16" s="16">
        <v>4</v>
      </c>
      <c r="AI16" s="16">
        <v>35000</v>
      </c>
      <c r="AJ16" s="16">
        <v>2</v>
      </c>
      <c r="AK16" s="16">
        <v>0</v>
      </c>
      <c r="AL16" s="16">
        <v>1</v>
      </c>
      <c r="AM16" s="16">
        <v>50000</v>
      </c>
      <c r="AN16" s="16">
        <v>0</v>
      </c>
      <c r="AO16" s="15"/>
    </row>
    <row r="17" spans="1:41" ht="15.75">
      <c r="A17" s="8"/>
      <c r="B17" s="21">
        <v>10</v>
      </c>
      <c r="C17" s="21" t="s">
        <v>44</v>
      </c>
      <c r="D17" s="21" t="s">
        <v>49</v>
      </c>
      <c r="E17" s="21">
        <v>6999</v>
      </c>
      <c r="Z17" s="11"/>
      <c r="AB17" s="12"/>
      <c r="AC17" s="16">
        <v>1012</v>
      </c>
      <c r="AD17" s="16" t="s">
        <v>63</v>
      </c>
      <c r="AE17" s="16">
        <v>740</v>
      </c>
      <c r="AF17" s="16" t="s">
        <v>33</v>
      </c>
      <c r="AG17" s="16">
        <v>46</v>
      </c>
      <c r="AH17" s="16">
        <v>9</v>
      </c>
      <c r="AI17" s="16">
        <v>110000</v>
      </c>
      <c r="AJ17" s="16">
        <v>3</v>
      </c>
      <c r="AK17" s="16">
        <v>1</v>
      </c>
      <c r="AL17" s="16">
        <v>1</v>
      </c>
      <c r="AM17" s="16">
        <v>98000</v>
      </c>
      <c r="AN17" s="16">
        <v>1</v>
      </c>
      <c r="AO17" s="15"/>
    </row>
    <row r="18" spans="1:41" ht="15.75">
      <c r="A18" s="8"/>
      <c r="B18" s="21">
        <v>11</v>
      </c>
      <c r="C18" s="21" t="s">
        <v>64</v>
      </c>
      <c r="D18" s="21" t="s">
        <v>48</v>
      </c>
      <c r="E18" s="21">
        <v>149</v>
      </c>
      <c r="L18" s="16" t="s">
        <v>65</v>
      </c>
      <c r="M18" s="16" t="s">
        <v>66</v>
      </c>
      <c r="O18" s="16" t="s">
        <v>67</v>
      </c>
      <c r="P18" s="16" t="s">
        <v>68</v>
      </c>
      <c r="Z18" s="11"/>
      <c r="AB18" s="12"/>
      <c r="AC18" s="16">
        <v>1013</v>
      </c>
      <c r="AD18" s="16" t="s">
        <v>69</v>
      </c>
      <c r="AE18" s="16">
        <v>560</v>
      </c>
      <c r="AF18" s="16" t="s">
        <v>17</v>
      </c>
      <c r="AG18" s="16">
        <v>28</v>
      </c>
      <c r="AH18" s="16">
        <v>3</v>
      </c>
      <c r="AI18" s="16">
        <v>25000</v>
      </c>
      <c r="AJ18" s="16">
        <v>1</v>
      </c>
      <c r="AK18" s="16">
        <v>0</v>
      </c>
      <c r="AL18" s="16">
        <v>0</v>
      </c>
      <c r="AM18" s="16">
        <v>42000</v>
      </c>
      <c r="AN18" s="16">
        <v>0</v>
      </c>
      <c r="AO18" s="15"/>
    </row>
    <row r="19" spans="1:41" ht="15.75">
      <c r="A19" s="8"/>
      <c r="B19" s="21">
        <v>12</v>
      </c>
      <c r="C19" s="21" t="s">
        <v>70</v>
      </c>
      <c r="D19" s="21" t="s">
        <v>35</v>
      </c>
      <c r="E19" s="21">
        <v>2199</v>
      </c>
      <c r="L19" s="16" t="s">
        <v>71</v>
      </c>
      <c r="M19" s="16">
        <v>10</v>
      </c>
      <c r="O19" s="23" t="s">
        <v>72</v>
      </c>
      <c r="P19" s="23">
        <f>MATCH(O19,L19:L23,0)</f>
        <v>1</v>
      </c>
      <c r="Z19" s="11"/>
      <c r="AB19" s="12"/>
      <c r="AC19" s="16">
        <v>1014</v>
      </c>
      <c r="AD19" s="16" t="s">
        <v>73</v>
      </c>
      <c r="AE19" s="16">
        <v>680</v>
      </c>
      <c r="AF19" s="16" t="s">
        <v>33</v>
      </c>
      <c r="AG19" s="16">
        <v>39</v>
      </c>
      <c r="AH19" s="16">
        <v>6</v>
      </c>
      <c r="AI19" s="16">
        <v>60000</v>
      </c>
      <c r="AJ19" s="16">
        <v>2</v>
      </c>
      <c r="AK19" s="16">
        <v>1</v>
      </c>
      <c r="AL19" s="16">
        <v>1</v>
      </c>
      <c r="AM19" s="16">
        <v>70000</v>
      </c>
      <c r="AN19" s="16">
        <v>0</v>
      </c>
      <c r="AO19" s="15"/>
    </row>
    <row r="20" spans="1:41" ht="15.75">
      <c r="A20" s="8"/>
      <c r="B20" s="21">
        <v>13</v>
      </c>
      <c r="C20" s="21" t="s">
        <v>74</v>
      </c>
      <c r="D20" s="21" t="s">
        <v>47</v>
      </c>
      <c r="E20" s="21">
        <v>349</v>
      </c>
      <c r="L20" s="16" t="s">
        <v>75</v>
      </c>
      <c r="M20" s="16">
        <v>20</v>
      </c>
      <c r="O20" s="23" t="s">
        <v>76</v>
      </c>
      <c r="P20" s="23">
        <f>MATCH(O20,L19:L23,0)</f>
        <v>2</v>
      </c>
      <c r="Z20" s="11"/>
      <c r="AB20" s="12"/>
      <c r="AC20" s="16">
        <v>1015</v>
      </c>
      <c r="AD20" s="16" t="s">
        <v>77</v>
      </c>
      <c r="AE20" s="16">
        <v>720</v>
      </c>
      <c r="AF20" s="16" t="s">
        <v>17</v>
      </c>
      <c r="AG20" s="16">
        <v>44</v>
      </c>
      <c r="AH20" s="16">
        <v>8</v>
      </c>
      <c r="AI20" s="16">
        <v>85000</v>
      </c>
      <c r="AJ20" s="16">
        <v>3</v>
      </c>
      <c r="AK20" s="16">
        <v>1</v>
      </c>
      <c r="AL20" s="16">
        <v>1</v>
      </c>
      <c r="AM20" s="16">
        <v>88000</v>
      </c>
      <c r="AN20" s="16">
        <v>1</v>
      </c>
      <c r="AO20" s="15"/>
    </row>
    <row r="21" spans="1:41" ht="15.75">
      <c r="A21" s="8"/>
      <c r="B21" s="21">
        <v>14</v>
      </c>
      <c r="C21" s="21" t="s">
        <v>78</v>
      </c>
      <c r="D21" s="21" t="s">
        <v>50</v>
      </c>
      <c r="E21" s="21">
        <v>249</v>
      </c>
      <c r="L21" s="16" t="s">
        <v>79</v>
      </c>
      <c r="M21" s="16">
        <v>30</v>
      </c>
      <c r="O21" s="23" t="s">
        <v>80</v>
      </c>
      <c r="P21" s="23">
        <f>MATCH(O21,L19:L23,0)</f>
        <v>3</v>
      </c>
      <c r="Z21" s="11"/>
      <c r="AB21" s="12"/>
      <c r="AC21" s="16">
        <v>1016</v>
      </c>
      <c r="AD21" s="16" t="s">
        <v>81</v>
      </c>
      <c r="AE21" s="16">
        <v>590</v>
      </c>
      <c r="AF21" s="16" t="s">
        <v>33</v>
      </c>
      <c r="AG21" s="16">
        <v>32</v>
      </c>
      <c r="AH21" s="16">
        <v>5</v>
      </c>
      <c r="AI21" s="16">
        <v>45000</v>
      </c>
      <c r="AJ21" s="16">
        <v>2</v>
      </c>
      <c r="AK21" s="16">
        <v>0</v>
      </c>
      <c r="AL21" s="16">
        <v>0</v>
      </c>
      <c r="AM21" s="16">
        <v>53000</v>
      </c>
      <c r="AN21" s="16">
        <v>0</v>
      </c>
      <c r="AO21" s="15"/>
    </row>
    <row r="22" spans="1:41" ht="15.75">
      <c r="A22" s="8"/>
      <c r="B22" s="21">
        <v>15</v>
      </c>
      <c r="C22" s="21" t="s">
        <v>82</v>
      </c>
      <c r="D22" s="21" t="s">
        <v>48</v>
      </c>
      <c r="E22" s="21">
        <v>799</v>
      </c>
      <c r="L22" s="16" t="s">
        <v>83</v>
      </c>
      <c r="M22" s="16">
        <v>40</v>
      </c>
      <c r="O22" s="23" t="s">
        <v>84</v>
      </c>
      <c r="P22" s="23">
        <f>MATCH(O22,L19:L23,0)</f>
        <v>4</v>
      </c>
      <c r="Z22" s="11"/>
      <c r="AB22" s="12"/>
      <c r="AC22" s="16">
        <v>1017</v>
      </c>
      <c r="AD22" s="16" t="s">
        <v>85</v>
      </c>
      <c r="AE22" s="16">
        <v>660</v>
      </c>
      <c r="AF22" s="16" t="s">
        <v>17</v>
      </c>
      <c r="AG22" s="16">
        <v>36</v>
      </c>
      <c r="AH22" s="16">
        <v>6</v>
      </c>
      <c r="AI22" s="16">
        <v>65000</v>
      </c>
      <c r="AJ22" s="16">
        <v>2</v>
      </c>
      <c r="AK22" s="16">
        <v>1</v>
      </c>
      <c r="AL22" s="16">
        <v>1</v>
      </c>
      <c r="AM22" s="16">
        <v>67000</v>
      </c>
      <c r="AN22" s="16">
        <v>0</v>
      </c>
      <c r="AO22" s="15"/>
    </row>
    <row r="23" spans="1:41" ht="15.75">
      <c r="A23" s="8"/>
      <c r="B23" s="21">
        <v>16</v>
      </c>
      <c r="C23" s="21" t="s">
        <v>86</v>
      </c>
      <c r="D23" s="21" t="s">
        <v>35</v>
      </c>
      <c r="E23" s="21">
        <v>1499</v>
      </c>
      <c r="L23" s="16" t="s">
        <v>87</v>
      </c>
      <c r="M23" s="16">
        <v>50</v>
      </c>
      <c r="O23" s="23" t="s">
        <v>88</v>
      </c>
      <c r="P23" s="23">
        <f>MATCH(O23,L19:L23,0)</f>
        <v>5</v>
      </c>
      <c r="Z23" s="11"/>
      <c r="AB23" s="12"/>
      <c r="AC23" s="16">
        <v>1018</v>
      </c>
      <c r="AD23" s="16" t="s">
        <v>89</v>
      </c>
      <c r="AE23" s="16">
        <v>780</v>
      </c>
      <c r="AF23" s="16" t="s">
        <v>33</v>
      </c>
      <c r="AG23" s="16">
        <v>48</v>
      </c>
      <c r="AH23" s="16">
        <v>10</v>
      </c>
      <c r="AI23" s="16">
        <v>130000</v>
      </c>
      <c r="AJ23" s="16">
        <v>3</v>
      </c>
      <c r="AK23" s="16">
        <v>1</v>
      </c>
      <c r="AL23" s="16">
        <v>1</v>
      </c>
      <c r="AM23" s="16">
        <v>110000</v>
      </c>
      <c r="AN23" s="16">
        <v>1</v>
      </c>
      <c r="AO23" s="15"/>
    </row>
    <row r="24" spans="1:41" ht="15.75">
      <c r="A24" s="8"/>
      <c r="B24" s="21">
        <v>17</v>
      </c>
      <c r="C24" s="21" t="s">
        <v>90</v>
      </c>
      <c r="D24" s="21" t="s">
        <v>49</v>
      </c>
      <c r="E24" s="21">
        <v>599</v>
      </c>
      <c r="Z24" s="11"/>
      <c r="AB24" s="12"/>
      <c r="AC24" s="16">
        <v>1019</v>
      </c>
      <c r="AD24" s="16" t="s">
        <v>91</v>
      </c>
      <c r="AE24" s="16">
        <v>620</v>
      </c>
      <c r="AF24" s="16" t="s">
        <v>17</v>
      </c>
      <c r="AG24" s="16">
        <v>34</v>
      </c>
      <c r="AH24" s="16">
        <v>5</v>
      </c>
      <c r="AI24" s="16">
        <v>48000</v>
      </c>
      <c r="AJ24" s="16">
        <v>2</v>
      </c>
      <c r="AK24" s="16">
        <v>1</v>
      </c>
      <c r="AL24" s="16">
        <v>0</v>
      </c>
      <c r="AM24" s="16">
        <v>58000</v>
      </c>
      <c r="AN24" s="16">
        <v>0</v>
      </c>
      <c r="AO24" s="15"/>
    </row>
    <row r="25" spans="1:41" ht="15.75">
      <c r="A25" s="8"/>
      <c r="B25" s="21">
        <v>18</v>
      </c>
      <c r="C25" s="21" t="s">
        <v>92</v>
      </c>
      <c r="D25" s="21" t="s">
        <v>93</v>
      </c>
      <c r="E25" s="21">
        <v>699</v>
      </c>
      <c r="Z25" s="11"/>
      <c r="AB25" s="12"/>
      <c r="AC25" s="16">
        <v>1020</v>
      </c>
      <c r="AD25" s="16" t="s">
        <v>94</v>
      </c>
      <c r="AE25" s="16">
        <v>700</v>
      </c>
      <c r="AF25" s="16" t="s">
        <v>33</v>
      </c>
      <c r="AG25" s="16">
        <v>40</v>
      </c>
      <c r="AH25" s="16">
        <v>7</v>
      </c>
      <c r="AI25" s="16">
        <v>72000</v>
      </c>
      <c r="AJ25" s="16">
        <v>1</v>
      </c>
      <c r="AK25" s="16">
        <v>1</v>
      </c>
      <c r="AL25" s="16">
        <v>1</v>
      </c>
      <c r="AM25" s="16">
        <v>76000</v>
      </c>
      <c r="AN25" s="16">
        <v>1</v>
      </c>
      <c r="AO25" s="15"/>
    </row>
    <row r="26" spans="1:41" ht="15.75">
      <c r="A26" s="8"/>
      <c r="B26" s="21">
        <v>19</v>
      </c>
      <c r="C26" s="21" t="s">
        <v>95</v>
      </c>
      <c r="D26" s="21" t="s">
        <v>35</v>
      </c>
      <c r="E26" s="21">
        <v>199</v>
      </c>
      <c r="Z26" s="11"/>
      <c r="AB26" s="12"/>
      <c r="AO26" s="15"/>
    </row>
    <row r="27" spans="1:41" ht="15.75">
      <c r="A27" s="8"/>
      <c r="B27" s="21"/>
      <c r="C27" s="21"/>
      <c r="D27" s="21"/>
      <c r="E27" s="21"/>
      <c r="Z27" s="11"/>
      <c r="AB27" s="12"/>
      <c r="AO27" s="15"/>
    </row>
    <row r="28" spans="1:41" ht="15.75">
      <c r="A28" s="8"/>
      <c r="Z28" s="11"/>
      <c r="AB28" s="12"/>
      <c r="AC28" s="24" t="s">
        <v>96</v>
      </c>
      <c r="AE28" s="24" t="s">
        <v>97</v>
      </c>
      <c r="AG28" s="24" t="s">
        <v>98</v>
      </c>
      <c r="AI28" s="24" t="s">
        <v>99</v>
      </c>
      <c r="AK28" s="24" t="s">
        <v>100</v>
      </c>
      <c r="AM28" s="24" t="s">
        <v>101</v>
      </c>
      <c r="AO28" s="15"/>
    </row>
    <row r="29" spans="1:41">
      <c r="A29" s="8"/>
      <c r="Z29" s="11"/>
      <c r="AB29" s="12"/>
      <c r="AC29" s="25"/>
      <c r="AE29" s="25"/>
      <c r="AG29" s="25"/>
      <c r="AI29" s="25"/>
      <c r="AK29" s="25"/>
      <c r="AM29" s="25"/>
      <c r="AO29" s="15"/>
    </row>
    <row r="30" spans="1:41">
      <c r="A30" s="8"/>
      <c r="Z30" s="11"/>
      <c r="AB30" s="12"/>
      <c r="AC30" s="26">
        <f>COUNT(#REF!)</f>
        <v>0</v>
      </c>
      <c r="AE30" s="26">
        <f>COUNTA(#REF!)</f>
        <v>1</v>
      </c>
      <c r="AG30" s="26" t="e">
        <f>COUNTBLANK(#REF!)</f>
        <v>#REF!</v>
      </c>
      <c r="AI30" s="26" t="e">
        <f>COUNTIF('[1]MODULE 2_2'!AG6:AG25,"&gt;40")</f>
        <v>#VALUE!</v>
      </c>
      <c r="AK30" s="26" t="e" vm="1">
        <f>COUNTIFS(#REF!,"&gt;40",#REF!,"FEMALE")</f>
        <v>#REF!</v>
      </c>
      <c r="AM30" s="26" t="e" vm="1">
        <f>CORREL(#REF!,#REF!)</f>
        <v>#REF!</v>
      </c>
      <c r="AO30" s="15"/>
    </row>
    <row r="31" spans="1:41" ht="25.5">
      <c r="A31" s="8"/>
      <c r="D31" s="27" t="s">
        <v>102</v>
      </c>
      <c r="N31" s="28" t="s">
        <v>103</v>
      </c>
      <c r="O31" s="27"/>
      <c r="T31" s="28" t="s">
        <v>104</v>
      </c>
      <c r="Z31" s="11"/>
      <c r="AB31" s="12"/>
      <c r="AO31" s="15"/>
    </row>
    <row r="32" spans="1:41">
      <c r="A32" s="8"/>
      <c r="Z32" s="11"/>
      <c r="AB32" s="12"/>
      <c r="AO32" s="15"/>
    </row>
    <row r="33" spans="1:41" ht="15.75">
      <c r="A33" s="8"/>
      <c r="B33" s="29" t="s">
        <v>20</v>
      </c>
      <c r="C33" s="30" t="s">
        <v>105</v>
      </c>
      <c r="J33" s="31" t="s">
        <v>20</v>
      </c>
      <c r="K33" s="32" t="s">
        <v>106</v>
      </c>
      <c r="R33" t="s">
        <v>19</v>
      </c>
      <c r="S33" t="s">
        <v>105</v>
      </c>
      <c r="Z33" s="11"/>
      <c r="AB33" s="12"/>
      <c r="AC33" s="33" t="s">
        <v>107</v>
      </c>
      <c r="AE33" s="34" t="s">
        <v>108</v>
      </c>
      <c r="AF33" s="35"/>
      <c r="AG33" s="33" t="s">
        <v>109</v>
      </c>
      <c r="AI33" s="34" t="s">
        <v>110</v>
      </c>
      <c r="AJ33" s="36" t="s">
        <v>111</v>
      </c>
      <c r="AK33" s="34" t="s">
        <v>112</v>
      </c>
      <c r="AL33" s="37" t="s">
        <v>113</v>
      </c>
      <c r="AO33" s="15"/>
    </row>
    <row r="34" spans="1:41">
      <c r="A34" s="8"/>
      <c r="B34" s="38" t="s">
        <v>50</v>
      </c>
      <c r="C34" s="39">
        <v>1548</v>
      </c>
      <c r="J34" s="40" t="s">
        <v>50</v>
      </c>
      <c r="K34" s="41">
        <v>21</v>
      </c>
      <c r="R34" t="s">
        <v>41</v>
      </c>
      <c r="S34">
        <v>1299</v>
      </c>
      <c r="Z34" s="11"/>
      <c r="AB34" s="12"/>
      <c r="AC34" s="42"/>
      <c r="AE34" s="43"/>
      <c r="AG34" s="42"/>
      <c r="AI34" s="43"/>
      <c r="AK34" s="43"/>
      <c r="AL34" s="44"/>
      <c r="AO34" s="15"/>
    </row>
    <row r="35" spans="1:41">
      <c r="A35" s="8"/>
      <c r="B35" s="38" t="s">
        <v>35</v>
      </c>
      <c r="C35" s="39">
        <v>9693</v>
      </c>
      <c r="J35" s="40" t="s">
        <v>35</v>
      </c>
      <c r="K35" s="41">
        <v>65</v>
      </c>
      <c r="R35" t="s">
        <v>43</v>
      </c>
      <c r="S35">
        <v>1799</v>
      </c>
      <c r="Z35" s="11"/>
      <c r="AB35" s="12"/>
      <c r="AC35" s="45" t="e" vm="1">
        <f>AVERAGE(#REF!)</f>
        <v>#REF!</v>
      </c>
      <c r="AE35" s="46" t="e" vm="1">
        <f>MODE(#REF!)</f>
        <v>#REF!</v>
      </c>
      <c r="AF35" s="47" t="e" vm="1">
        <f>MODE(#REF!)</f>
        <v>#REF!</v>
      </c>
      <c r="AG35" s="45" t="e" vm="1">
        <f>MEDIAN(#REF!)</f>
        <v>#REF!</v>
      </c>
      <c r="AI35" s="46" t="e" vm="1">
        <f>_xlfn.STDEV.S(#REF!)</f>
        <v>#REF!</v>
      </c>
      <c r="AJ35" s="48" t="e" vm="1">
        <f>_xlfn.STDEV.S(#REF!)</f>
        <v>#REF!</v>
      </c>
      <c r="AK35" s="46" t="e" vm="1">
        <f>_xlfn.VAR.P(#REF!)</f>
        <v>#REF!</v>
      </c>
      <c r="AL35" s="49" t="e" vm="1">
        <f>_xlfn.VAR.S(#REF!)</f>
        <v>#REF!</v>
      </c>
      <c r="AO35" s="15"/>
    </row>
    <row r="36" spans="1:41">
      <c r="A36" s="8"/>
      <c r="B36" s="38" t="s">
        <v>49</v>
      </c>
      <c r="C36" s="39">
        <v>13097</v>
      </c>
      <c r="J36" s="40" t="s">
        <v>49</v>
      </c>
      <c r="K36" s="41">
        <v>32</v>
      </c>
      <c r="R36" t="s">
        <v>42</v>
      </c>
      <c r="S36">
        <v>199</v>
      </c>
      <c r="Z36" s="11"/>
      <c r="AB36" s="50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2"/>
    </row>
    <row r="37" spans="1:41">
      <c r="A37" s="8"/>
      <c r="B37" s="38" t="s">
        <v>47</v>
      </c>
      <c r="C37" s="39">
        <v>847</v>
      </c>
      <c r="J37" s="40" t="s">
        <v>47</v>
      </c>
      <c r="K37" s="41">
        <v>24</v>
      </c>
      <c r="R37" t="s">
        <v>114</v>
      </c>
      <c r="S37">
        <v>129</v>
      </c>
      <c r="Z37" s="11"/>
    </row>
    <row r="38" spans="1:41">
      <c r="A38" s="8"/>
      <c r="B38" s="38" t="s">
        <v>93</v>
      </c>
      <c r="C38" s="39">
        <v>699</v>
      </c>
      <c r="J38" s="40" t="s">
        <v>93</v>
      </c>
      <c r="K38" s="41">
        <v>18</v>
      </c>
      <c r="R38" t="s">
        <v>70</v>
      </c>
      <c r="S38">
        <v>2199</v>
      </c>
      <c r="Z38" s="11"/>
    </row>
    <row r="39" spans="1:41" ht="32.25">
      <c r="A39" s="8"/>
      <c r="B39" s="38" t="s">
        <v>48</v>
      </c>
      <c r="C39" s="39">
        <v>1176</v>
      </c>
      <c r="J39" s="40" t="s">
        <v>48</v>
      </c>
      <c r="K39" s="41">
        <v>50</v>
      </c>
      <c r="R39" t="s">
        <v>40</v>
      </c>
      <c r="S39">
        <v>899</v>
      </c>
      <c r="Z39" s="11"/>
      <c r="AE39" s="53" t="s">
        <v>115</v>
      </c>
    </row>
    <row r="40" spans="1:41">
      <c r="A40" s="8"/>
      <c r="B40" s="54" t="s">
        <v>116</v>
      </c>
      <c r="C40" s="55">
        <v>27060</v>
      </c>
      <c r="J40" s="56" t="s">
        <v>116</v>
      </c>
      <c r="K40" s="57">
        <v>210</v>
      </c>
      <c r="R40" t="s">
        <v>74</v>
      </c>
      <c r="S40">
        <v>349</v>
      </c>
      <c r="Z40" s="11"/>
      <c r="AB40" s="58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60"/>
    </row>
    <row r="41" spans="1:41">
      <c r="A41" s="8"/>
      <c r="R41" t="s">
        <v>36</v>
      </c>
      <c r="S41">
        <v>2499</v>
      </c>
      <c r="Z41" s="11"/>
      <c r="AB41" s="61" t="s">
        <v>65</v>
      </c>
      <c r="AC41" s="62" t="s">
        <v>117</v>
      </c>
      <c r="AD41" s="62" t="s">
        <v>118</v>
      </c>
      <c r="AE41" s="62" t="s">
        <v>119</v>
      </c>
      <c r="AF41" s="62" t="s">
        <v>120</v>
      </c>
      <c r="AG41" s="63"/>
      <c r="AH41" s="62" t="s">
        <v>121</v>
      </c>
      <c r="AI41" s="62" t="s">
        <v>122</v>
      </c>
      <c r="AJ41" s="62" t="s">
        <v>123</v>
      </c>
      <c r="AK41" s="62" t="s">
        <v>124</v>
      </c>
      <c r="AL41" s="63"/>
      <c r="AM41" s="62" t="s">
        <v>125</v>
      </c>
      <c r="AN41" s="64" t="s">
        <v>126</v>
      </c>
    </row>
    <row r="42" spans="1:41">
      <c r="A42" s="8"/>
      <c r="R42" t="s">
        <v>38</v>
      </c>
      <c r="S42">
        <v>99</v>
      </c>
      <c r="Z42" s="11"/>
      <c r="AB42" s="65" t="s">
        <v>127</v>
      </c>
      <c r="AC42" s="66">
        <v>50</v>
      </c>
      <c r="AD42" s="66" t="str">
        <f>IF(AC42&gt;35,"PASS","FAIL")</f>
        <v>PASS</v>
      </c>
      <c r="AE42" s="66" t="str">
        <f>IF(AC42&gt;=80,"ABOVE 80","BELOW 80")</f>
        <v>BELOW 80</v>
      </c>
      <c r="AF42" s="66" t="str">
        <f>IF(AC42 &gt;=70,"ABOVE 70",IF(AC42&gt;=61,"61-60",IF(AC42&gt;=41,"40-60","BELOW 80")))</f>
        <v>40-60</v>
      </c>
      <c r="AH42" s="66" t="b">
        <f>OR(AC42&gt;35)</f>
        <v>1</v>
      </c>
      <c r="AI42" s="66" t="str">
        <f>IF(AH42,"PASS","FAIL")</f>
        <v>PASS</v>
      </c>
      <c r="AJ42" s="66" t="b">
        <f>AND(AC42&gt;=35,AC42&lt;=35)</f>
        <v>0</v>
      </c>
      <c r="AK42" s="66" t="str">
        <f>IF(AJ42,"PASS","FAIL")</f>
        <v>FAIL</v>
      </c>
      <c r="AM42" s="66" t="b">
        <f>NOT(AC46&gt;100)</f>
        <v>1</v>
      </c>
      <c r="AN42" s="67" t="b">
        <f>_xlfn.XOR("TRUE","FALSE")</f>
        <v>1</v>
      </c>
    </row>
    <row r="43" spans="1:41">
      <c r="A43" s="8"/>
      <c r="R43" t="s">
        <v>39</v>
      </c>
      <c r="S43">
        <v>5499</v>
      </c>
      <c r="Z43" s="11"/>
      <c r="AB43" s="65" t="s">
        <v>128</v>
      </c>
      <c r="AC43" s="66">
        <v>86</v>
      </c>
      <c r="AD43" s="66" t="str">
        <f t="shared" ref="AD43:AD46" si="0">IF(AC43&gt;35,"PASS","FAIL")</f>
        <v>PASS</v>
      </c>
      <c r="AE43" s="66" t="str">
        <f t="shared" ref="AE43:AE46" si="1">IF(AC43&gt;=80,"ABOVE 80","BELOW 80")</f>
        <v>ABOVE 80</v>
      </c>
      <c r="AF43" s="66" t="str">
        <f t="shared" ref="AF43:AF46" si="2">IF(AC43 &gt;=70,"ABOVE 70",IF(AC43&gt;=61,"61-60",IF(AC43&gt;=41,"40-60","BELOW 80")))</f>
        <v>ABOVE 70</v>
      </c>
      <c r="AH43" s="66" t="b">
        <f t="shared" ref="AH43:AH46" si="3">OR(AC43&gt;35)</f>
        <v>1</v>
      </c>
      <c r="AI43" s="66" t="str">
        <f t="shared" ref="AI43:AI46" si="4">IF(AH43,"PASS","FAIL")</f>
        <v>PASS</v>
      </c>
      <c r="AJ43" s="66" t="b">
        <f t="shared" ref="AJ43:AJ46" si="5">AND(AC43&gt;=35,AC43&lt;=35)</f>
        <v>0</v>
      </c>
      <c r="AK43" s="66" t="str">
        <f t="shared" ref="AK43:AK46" si="6">IF(AJ43,"PASS","FAIL")</f>
        <v>FAIL</v>
      </c>
      <c r="AN43" s="68"/>
    </row>
    <row r="44" spans="1:41">
      <c r="A44" s="8"/>
      <c r="R44" t="s">
        <v>64</v>
      </c>
      <c r="S44">
        <v>149</v>
      </c>
      <c r="Z44" s="11"/>
      <c r="AB44" s="65" t="s">
        <v>129</v>
      </c>
      <c r="AC44" s="66">
        <v>35</v>
      </c>
      <c r="AD44" s="66" t="str">
        <f t="shared" si="0"/>
        <v>FAIL</v>
      </c>
      <c r="AE44" s="66" t="str">
        <f>IF(AC44&gt;=80,"ABOVE 80","BELOW 80")</f>
        <v>BELOW 80</v>
      </c>
      <c r="AF44" s="66" t="str">
        <f t="shared" si="2"/>
        <v>BELOW 80</v>
      </c>
      <c r="AH44" s="66" t="b">
        <f t="shared" si="3"/>
        <v>0</v>
      </c>
      <c r="AI44" s="66" t="str">
        <f t="shared" si="4"/>
        <v>FAIL</v>
      </c>
      <c r="AJ44" s="66" t="b">
        <f t="shared" si="5"/>
        <v>1</v>
      </c>
      <c r="AK44" s="66" t="str">
        <f t="shared" si="6"/>
        <v>PASS</v>
      </c>
      <c r="AN44" s="68"/>
    </row>
    <row r="45" spans="1:41">
      <c r="A45" s="8"/>
      <c r="R45" t="s">
        <v>86</v>
      </c>
      <c r="S45">
        <v>1499</v>
      </c>
      <c r="Z45" s="11"/>
      <c r="AB45" s="65" t="s">
        <v>130</v>
      </c>
      <c r="AC45" s="66">
        <v>30</v>
      </c>
      <c r="AD45" s="66" t="str">
        <f t="shared" si="0"/>
        <v>FAIL</v>
      </c>
      <c r="AE45" s="66" t="str">
        <f t="shared" si="1"/>
        <v>BELOW 80</v>
      </c>
      <c r="AF45" s="66" t="str">
        <f t="shared" si="2"/>
        <v>BELOW 80</v>
      </c>
      <c r="AH45" s="66" t="b">
        <f t="shared" si="3"/>
        <v>0</v>
      </c>
      <c r="AI45" s="66" t="str">
        <f t="shared" si="4"/>
        <v>FAIL</v>
      </c>
      <c r="AJ45" s="66" t="b">
        <f t="shared" si="5"/>
        <v>0</v>
      </c>
      <c r="AK45" s="66" t="str">
        <f t="shared" si="6"/>
        <v>FAIL</v>
      </c>
      <c r="AN45" s="68"/>
    </row>
    <row r="46" spans="1:41">
      <c r="A46" s="8"/>
      <c r="R46" t="s">
        <v>78</v>
      </c>
      <c r="S46">
        <v>249</v>
      </c>
      <c r="Z46" s="11"/>
      <c r="AB46" s="65" t="s">
        <v>131</v>
      </c>
      <c r="AC46" s="66">
        <v>90</v>
      </c>
      <c r="AD46" s="66" t="str">
        <f t="shared" si="0"/>
        <v>PASS</v>
      </c>
      <c r="AE46" s="66" t="str">
        <f t="shared" si="1"/>
        <v>ABOVE 80</v>
      </c>
      <c r="AF46" s="66" t="str">
        <f t="shared" si="2"/>
        <v>ABOVE 70</v>
      </c>
      <c r="AH46" s="66" t="b">
        <f t="shared" si="3"/>
        <v>1</v>
      </c>
      <c r="AI46" s="66" t="str">
        <f t="shared" si="4"/>
        <v>PASS</v>
      </c>
      <c r="AJ46" s="66" t="b">
        <f t="shared" si="5"/>
        <v>0</v>
      </c>
      <c r="AK46" s="66" t="str">
        <f t="shared" si="6"/>
        <v>FAIL</v>
      </c>
      <c r="AN46" s="68"/>
    </row>
    <row r="47" spans="1:41">
      <c r="A47" s="8"/>
      <c r="R47" t="s">
        <v>90</v>
      </c>
      <c r="S47">
        <v>599</v>
      </c>
      <c r="Z47" s="11"/>
      <c r="AB47" s="69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1"/>
    </row>
    <row r="48" spans="1:41">
      <c r="A48" s="8"/>
      <c r="R48" t="s">
        <v>44</v>
      </c>
      <c r="S48">
        <v>6999</v>
      </c>
      <c r="Z48" s="11"/>
    </row>
    <row r="49" spans="1:26">
      <c r="A49" s="8"/>
      <c r="R49" t="s">
        <v>92</v>
      </c>
      <c r="S49">
        <v>699</v>
      </c>
      <c r="Z49" s="11"/>
    </row>
    <row r="50" spans="1:26">
      <c r="A50" s="8"/>
      <c r="R50" t="s">
        <v>95</v>
      </c>
      <c r="S50">
        <v>199</v>
      </c>
      <c r="Z50" s="11"/>
    </row>
    <row r="51" spans="1:26">
      <c r="A51" s="8"/>
      <c r="R51" t="s">
        <v>37</v>
      </c>
      <c r="S51">
        <v>299</v>
      </c>
      <c r="Z51" s="11"/>
    </row>
    <row r="52" spans="1:26" ht="25.5">
      <c r="A52" s="8"/>
      <c r="N52" s="27"/>
      <c r="R52" t="s">
        <v>82</v>
      </c>
      <c r="S52">
        <v>799</v>
      </c>
      <c r="Z52" s="11"/>
    </row>
    <row r="53" spans="1:26">
      <c r="A53" s="8"/>
      <c r="R53" t="s">
        <v>34</v>
      </c>
      <c r="S53">
        <v>599</v>
      </c>
      <c r="Z53" s="11"/>
    </row>
    <row r="54" spans="1:26">
      <c r="A54" s="8"/>
      <c r="R54" t="s">
        <v>116</v>
      </c>
      <c r="S54">
        <v>27060</v>
      </c>
      <c r="Z54" s="11"/>
    </row>
    <row r="55" spans="1:26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4"/>
    </row>
    <row r="58" spans="1:26" ht="21.75" customHeight="1"/>
    <row r="59" spans="1:26" ht="21.75" customHeight="1"/>
    <row r="60" spans="1:26" ht="21.75" customHeight="1"/>
    <row r="61" spans="1:26" ht="21.75" customHeight="1"/>
    <row r="62" spans="1:26" ht="21.75" customHeight="1"/>
    <row r="63" spans="1:26" ht="21.75" customHeight="1"/>
  </sheetData>
  <pageMargins left="0.7" right="0.7" top="0.75" bottom="0.75" header="0.3" footer="0.3"/>
  <rowBreaks count="1" manualBreakCount="1">
    <brk id="21" max="16383" man="1"/>
  </rowBreaks>
  <colBreaks count="1" manualBreakCount="1">
    <brk id="9" max="1048575" man="1"/>
  </colBreaks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2026-06-06T05:51:46Z</dcterms:created>
  <dcterms:modified xsi:type="dcterms:W3CDTF">2026-06-06T05:52:21Z</dcterms:modified>
  <cp:category/>
  <cp:contentStatus/>
</cp:coreProperties>
</file>