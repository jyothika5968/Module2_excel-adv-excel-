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4-1 Training\"/>
    </mc:Choice>
  </mc:AlternateContent>
  <xr:revisionPtr revIDLastSave="0" documentId="13_ncr:1_{DCF30E23-7674-4171-828D-9E089A7A51CB}" xr6:coauthVersionLast="47" xr6:coauthVersionMax="47" xr10:uidLastSave="{00000000-0000-0000-0000-000000000000}"/>
  <bookViews>
    <workbookView xWindow="-120" yWindow="-120" windowWidth="29040" windowHeight="15720" xr2:uid="{19600A42-9A2A-4939-B803-E3FB1A6608AF}"/>
  </bookViews>
  <sheets>
    <sheet name="FORMATING" sheetId="1" r:id="rId1"/>
    <sheet name="Sheet3" sheetId="7" r:id="rId2"/>
    <sheet name="M2_4 STATISTICAL ANAYSIS" sheetId="5" r:id="rId3"/>
  </sheets>
  <definedNames>
    <definedName name="_xlnm._FilterDatabase" localSheetId="2" hidden="1">'M2_4 STATISTICAL ANAYSIS'!$F$2:$F$21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0" i="7" l="1"/>
  <c r="D12" i="7" l="1"/>
  <c r="CK5" i="1"/>
  <c r="CK6" i="1"/>
  <c r="CK7" i="1"/>
  <c r="CK8" i="1"/>
  <c r="CK9" i="1"/>
  <c r="CK10" i="1"/>
  <c r="CK11" i="1"/>
  <c r="CK12" i="1"/>
  <c r="CK13" i="1"/>
  <c r="CK4" i="1"/>
  <c r="I5" i="1"/>
  <c r="I6" i="1"/>
  <c r="I7" i="1"/>
  <c r="I4" i="1"/>
</calcChain>
</file>

<file path=xl/sharedStrings.xml><?xml version="1.0" encoding="utf-8"?>
<sst xmlns="http://schemas.openxmlformats.org/spreadsheetml/2006/main" count="614" uniqueCount="177">
  <si>
    <t>SL NO</t>
  </si>
  <si>
    <t>NAME</t>
  </si>
  <si>
    <t>KANNADA</t>
  </si>
  <si>
    <t>ENGLISH</t>
  </si>
  <si>
    <t>MATHS</t>
  </si>
  <si>
    <t>SCIENCE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</si>
  <si>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</si>
  <si>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</si>
  <si>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</si>
  <si>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</si>
  <si>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</si>
  <si>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</si>
  <si>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</si>
  <si>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</si>
  <si>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</si>
  <si>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</si>
  <si>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</si>
  <si>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</si>
  <si>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</si>
  <si>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</si>
  <si>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</si>
  <si>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</si>
  <si>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</si>
  <si>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</si>
  <si>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DATE</t>
  </si>
  <si>
    <t>TIME</t>
  </si>
  <si>
    <t>BALANCE</t>
  </si>
  <si>
    <t>CustomerID</t>
  </si>
  <si>
    <t>Surname</t>
  </si>
  <si>
    <t>CreditScore</t>
  </si>
  <si>
    <t>Gender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</si>
  <si>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</si>
  <si>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</si>
  <si>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</si>
  <si>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</si>
  <si>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</si>
  <si>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</si>
  <si>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</si>
  <si>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Exited</t>
  </si>
  <si>
    <t>Kumar</t>
  </si>
  <si>
    <t>Male</t>
  </si>
  <si>
    <t>Sharma</t>
  </si>
  <si>
    <t>Female</t>
  </si>
  <si>
    <t>Reddy</t>
  </si>
  <si>
    <t>Patel</t>
  </si>
  <si>
    <t>Singh</t>
  </si>
  <si>
    <t>Khan</t>
  </si>
  <si>
    <t>Das</t>
  </si>
  <si>
    <t>Iyer</t>
  </si>
  <si>
    <t>Gupta</t>
  </si>
  <si>
    <t>Verma</t>
  </si>
  <si>
    <t>Joshi</t>
  </si>
  <si>
    <t>Nair</t>
  </si>
  <si>
    <t>Mehta</t>
  </si>
  <si>
    <t>Choudhary</t>
  </si>
  <si>
    <t>Bansal</t>
  </si>
  <si>
    <t>Pillai</t>
  </si>
  <si>
    <t>Yadav</t>
  </si>
  <si>
    <t>Roy</t>
  </si>
  <si>
    <t>Mishra</t>
  </si>
  <si>
    <t>Agarwal</t>
  </si>
  <si>
    <t>VALUES</t>
  </si>
  <si>
    <t>#.0</t>
  </si>
  <si>
    <t>#.00</t>
  </si>
  <si>
    <t>O.000</t>
  </si>
  <si>
    <t>O.00</t>
  </si>
  <si>
    <t>#.000</t>
  </si>
  <si>
    <t xml:space="preserve">                                                                                             </t>
  </si>
  <si>
    <t xml:space="preserve">                                                                 </t>
  </si>
  <si>
    <t>C001</t>
  </si>
  <si>
    <t>C002</t>
  </si>
  <si>
    <t>C003</t>
  </si>
  <si>
    <t>C004</t>
  </si>
  <si>
    <t>C005</t>
  </si>
  <si>
    <t>C006</t>
  </si>
  <si>
    <t>C007</t>
  </si>
  <si>
    <t>Rao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</si>
  <si>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</si>
  <si>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</si>
  <si>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</si>
  <si>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</si>
  <si>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</si>
  <si>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</si>
  <si>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</si>
  <si>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</si>
  <si>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</si>
  <si>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Jain</t>
  </si>
  <si>
    <t>C017</t>
  </si>
  <si>
    <t>C018</t>
  </si>
  <si>
    <t>Kapoor</t>
  </si>
  <si>
    <t>C019</t>
  </si>
  <si>
    <t>C020</t>
  </si>
  <si>
    <t>Cust_Name</t>
  </si>
  <si>
    <t>Estimated_Salary</t>
  </si>
  <si>
    <t>Location</t>
  </si>
  <si>
    <t>Ram</t>
  </si>
  <si>
    <t>Hyderabad</t>
  </si>
  <si>
    <t>Sita</t>
  </si>
  <si>
    <t>Mumbai</t>
  </si>
  <si>
    <t>Raju</t>
  </si>
  <si>
    <t>Chennai</t>
  </si>
  <si>
    <t>Anjali</t>
  </si>
  <si>
    <t>Delhi</t>
  </si>
  <si>
    <t>Kiran</t>
  </si>
  <si>
    <t>Bangalore</t>
  </si>
  <si>
    <t>Ayesha</t>
  </si>
  <si>
    <t>Kolkata</t>
  </si>
  <si>
    <t>Ravi</t>
  </si>
  <si>
    <t>Pune</t>
  </si>
  <si>
    <t>Priya</t>
  </si>
  <si>
    <t>Arjun</t>
  </si>
  <si>
    <t>Neha</t>
  </si>
  <si>
    <t>Rohit</t>
  </si>
  <si>
    <t>Meena</t>
  </si>
  <si>
    <t>Varun</t>
  </si>
  <si>
    <t>Kavya</t>
  </si>
  <si>
    <t>Rahul</t>
  </si>
  <si>
    <t>Divya</t>
  </si>
  <si>
    <t>Sanjay</t>
  </si>
  <si>
    <t>Pooja</t>
  </si>
  <si>
    <t>Manoj</t>
  </si>
  <si>
    <t>Sneha</t>
  </si>
  <si>
    <t>Sum of Age</t>
  </si>
  <si>
    <t>Sum of Tenure</t>
  </si>
  <si>
    <t>Range</t>
  </si>
  <si>
    <t>0-10</t>
  </si>
  <si>
    <t>10</t>
  </si>
  <si>
    <t>20</t>
  </si>
  <si>
    <t>30</t>
  </si>
  <si>
    <t>720</t>
  </si>
  <si>
    <t>800</t>
  </si>
  <si>
    <t>560</t>
  </si>
  <si>
    <t>780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</si>
  <si>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</si>
  <si>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</si>
  <si>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</si>
  <si>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</si>
  <si>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</si>
  <si>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</si>
  <si>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</si>
  <si>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</si>
  <si>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Minimum</t>
  </si>
  <si>
    <t>Maximum</t>
  </si>
  <si>
    <t>Sum</t>
  </si>
  <si>
    <t>Count</t>
  </si>
  <si>
    <t xml:space="preserve">DESCRIPTIVE </t>
  </si>
  <si>
    <t>Anova: Single Factor</t>
  </si>
  <si>
    <t>SUMMARY</t>
  </si>
  <si>
    <t>Groups</t>
  </si>
  <si>
    <t>Average</t>
  </si>
  <si>
    <t>Variance</t>
  </si>
  <si>
    <t>ANOVA</t>
  </si>
  <si>
    <t>Source of Variation</t>
  </si>
  <si>
    <t>SS</t>
  </si>
  <si>
    <t>df</t>
  </si>
  <si>
    <t>MS</t>
  </si>
  <si>
    <t>P-value</t>
  </si>
  <si>
    <t>F crit</t>
  </si>
  <si>
    <t>Between Groups</t>
  </si>
  <si>
    <t>Within Groups</t>
  </si>
  <si>
    <t>Total</t>
  </si>
  <si>
    <t>Anova: Two-Factor With Replication</t>
  </si>
  <si>
    <t>Sample</t>
  </si>
  <si>
    <t>Columns</t>
  </si>
  <si>
    <t>Interaction</t>
  </si>
  <si>
    <t>Within</t>
  </si>
  <si>
    <t>Anova: Two-Factor Without Replication</t>
  </si>
  <si>
    <t>Rows</t>
  </si>
  <si>
    <t>Error</t>
  </si>
  <si>
    <t>LOCATION,SALARY</t>
  </si>
  <si>
    <t>LOCATION ,GENDER(WITHOUT)</t>
  </si>
  <si>
    <t>LOCATION,GENDER,INTERACTION</t>
  </si>
  <si>
    <t>Maths</t>
  </si>
  <si>
    <t>Science</t>
  </si>
  <si>
    <t>English</t>
  </si>
  <si>
    <t xml:space="preserve"> </t>
  </si>
  <si>
    <t xml:space="preserve">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</si>
</sst>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4" formatCode="_ &quot;₹&quot;\ * #,##0.00_ ;_ &quot;₹&quot;\ * \-#,##0.00_ ;_ &quot;₹&quot;\ * &quot;-&quot;??_ ;_ @_ "/>
    <numFmt numFmtId="164" formatCode="[$-F800]dddd\,\ mmmm\ dd\,\ yyyy"/>
    <numFmt numFmtId="165" formatCode="[$-14009]dd/mm/yy;@"/>
    <numFmt numFmtId="166" formatCode="[$-14009]yyyy/mm/dd;@"/>
    <numFmt numFmtId="167" formatCode="[$-14009]d\.m\.yy;@"/>
    <numFmt numFmtId="168" formatCode="[$-10409]hh:mm:ss\ AM/PM;@"/>
    <numFmt numFmtId="169" formatCode="[$-14009]h:mm:ss;@"/>
    <numFmt numFmtId="170" formatCode="[$-10409]h\.mm\.ss\ AM/PM;@"/>
    <numFmt numFmtId="171" formatCode="[$-14009]hh:mm;@"/>
    <numFmt numFmtId="172" formatCode="0.0%"/>
    <numFmt numFmtId="173" formatCode="#,###\ "/>
    <numFmt numFmtId="174" formatCode="#,##0;&quot;NEGATIVE&quot;"/>
    <numFmt numFmtId="175" formatCode="#,##0;\-#,##0\ &quot;NEGATIVE&quot;"/>
    <numFmt numFmtId="176" formatCode="#.0"/>
    <numFmt numFmtId="177" formatCode="#.00"/>
    <numFmt numFmtId="178" formatCode="0.000"/>
    <numFmt numFmtId="179" formatCode="#.000"/>
    <numFmt numFmtId="180" formatCode="#,##0;&quot;NEGATIVE&quot;;;"/>
  </numFmts>
  <fonts count="17" x14ac:knownFonts="1">
    <font>
      <sz val="11"/>
      <color theme="1"/>
      <name val="Calibri"/>
      <family val="2"/>
      <scheme val="minor"/>
    </font>
    <font>
      <sz val="11"/>
      <color rgb="FFC00000"/>
      <name val="Castellar"/>
      <family val="1"/>
    </font>
    <font>
      <i/>
      <sz val="12"/>
      <color theme="1"/>
      <name val="Calibri"/>
      <family val="2"/>
      <scheme val="minor"/>
    </font>
    <font>
      <i/>
      <sz val="11"/>
      <color theme="1"/>
      <name val="Lucida Calligraphy"/>
      <family val="4"/>
    </font>
    <font>
      <sz val="20"/>
      <color theme="1"/>
      <name val="Algerian"/>
      <family val="5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2"/>
      <color rgb="FF000000"/>
      <name val="French Script MT"/>
      <family val="4"/>
    </font>
    <font>
      <b/>
      <sz val="18"/>
      <color rgb="FF000000"/>
      <name val="French Script MT"/>
      <family val="4"/>
    </font>
    <font>
      <sz val="18"/>
      <color rgb="FF000000"/>
      <name val="Edwardian Script ITC"/>
      <family val="4"/>
    </font>
    <font>
      <sz val="11"/>
      <color rgb="FF000000"/>
      <name val="Goudy Old Style"/>
      <family val="1"/>
    </font>
    <font>
      <i/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11"/>
      <color theme="5" tint="-0.249977111117893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DC39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D7D31"/>
        <bgColor rgb="FFED7D31"/>
      </patternFill>
    </fill>
    <fill>
      <patternFill patternType="solid">
        <fgColor rgb="FFF8CBAD"/>
        <bgColor rgb="FFF8CBAD"/>
      </patternFill>
    </fill>
    <fill>
      <patternFill patternType="solid">
        <fgColor rgb="FFFCE4D6"/>
        <bgColor rgb="FFFCE4D6"/>
      </patternFill>
    </fill>
    <fill>
      <patternFill patternType="solid">
        <fgColor theme="7" tint="0.59999389629810485"/>
        <bgColor rgb="FFF8CBAD"/>
      </patternFill>
    </fill>
    <fill>
      <patternFill patternType="solid">
        <fgColor theme="7" tint="0.59999389629810485"/>
        <bgColor rgb="FFFCE4D6"/>
      </patternFill>
    </fill>
    <fill>
      <patternFill patternType="solid">
        <fgColor theme="9" tint="0.59999389629810485"/>
        <bgColor rgb="FFF8CBAD"/>
      </patternFill>
    </fill>
    <fill>
      <patternFill patternType="solid">
        <fgColor theme="9" tint="0.59999389629810485"/>
        <bgColor rgb="FFFCE4D6"/>
      </patternFill>
    </fill>
    <fill>
      <patternFill patternType="solid">
        <fgColor theme="8" tint="0.59999389629810485"/>
        <bgColor rgb="FFF8CBAD"/>
      </patternFill>
    </fill>
    <fill>
      <patternFill patternType="solid">
        <fgColor theme="8" tint="0.59999389629810485"/>
        <bgColor rgb="FFFCE4D6"/>
      </patternFill>
    </fill>
    <fill>
      <patternFill patternType="solid">
        <fgColor theme="2" tint="-0.249977111117893"/>
        <bgColor rgb="FFF8CBAD"/>
      </patternFill>
    </fill>
    <fill>
      <patternFill patternType="solid">
        <fgColor theme="2" tint="-0.249977111117893"/>
        <bgColor rgb="FFFCE4D6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rgb="FFFF0000"/>
      </left>
      <right style="hair">
        <color rgb="FFFF0000"/>
      </right>
      <top style="hair">
        <color rgb="FFFF0000"/>
      </top>
      <bottom style="thin">
        <color indexed="64"/>
      </bottom>
      <diagonal/>
    </border>
    <border>
      <left style="hair">
        <color rgb="FFFF0000"/>
      </left>
      <right style="hair">
        <color rgb="FFFF0000"/>
      </right>
      <top style="thin">
        <color indexed="64"/>
      </top>
      <bottom style="thin">
        <color indexed="64"/>
      </bottom>
      <diagonal/>
    </border>
    <border>
      <left style="hair">
        <color rgb="FFFF0000"/>
      </left>
      <right style="hair">
        <color rgb="FFFF0000"/>
      </right>
      <top style="thin">
        <color indexed="64"/>
      </top>
      <bottom style="hair">
        <color rgb="FFFF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18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/>
    </xf>
    <xf numFmtId="44" fontId="3" fillId="7" borderId="3" xfId="0" applyNumberFormat="1" applyFont="1" applyFill="1" applyBorder="1" applyAlignment="1">
      <alignment horizontal="center"/>
    </xf>
    <xf numFmtId="172" fontId="3" fillId="8" borderId="1" xfId="0" applyNumberFormat="1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20" fontId="0" fillId="0" borderId="1" xfId="0" applyNumberFormat="1" applyBorder="1"/>
    <xf numFmtId="168" fontId="0" fillId="0" borderId="1" xfId="0" applyNumberFormat="1" applyBorder="1"/>
    <xf numFmtId="165" fontId="0" fillId="0" borderId="1" xfId="0" applyNumberFormat="1" applyBorder="1"/>
    <xf numFmtId="169" fontId="0" fillId="0" borderId="1" xfId="0" applyNumberFormat="1" applyBorder="1"/>
    <xf numFmtId="166" fontId="0" fillId="0" borderId="1" xfId="0" applyNumberFormat="1" applyBorder="1"/>
    <xf numFmtId="170" fontId="0" fillId="0" borderId="1" xfId="0" applyNumberFormat="1" applyBorder="1"/>
    <xf numFmtId="167" fontId="0" fillId="0" borderId="1" xfId="0" applyNumberFormat="1" applyBorder="1"/>
    <xf numFmtId="171" fontId="0" fillId="0" borderId="1" xfId="0" applyNumberFormat="1" applyBorder="1"/>
    <xf numFmtId="0" fontId="4" fillId="0" borderId="1" xfId="0" applyFont="1" applyBorder="1"/>
    <xf numFmtId="3" fontId="3" fillId="9" borderId="1" xfId="0" applyNumberFormat="1" applyFont="1" applyFill="1" applyBorder="1" applyAlignment="1">
      <alignment horizontal="center"/>
    </xf>
    <xf numFmtId="0" fontId="5" fillId="10" borderId="1" xfId="0" applyFont="1" applyFill="1" applyBorder="1" applyAlignment="1">
      <alignment horizontal="center"/>
    </xf>
    <xf numFmtId="0" fontId="6" fillId="11" borderId="1" xfId="0" applyFont="1" applyFill="1" applyBorder="1" applyAlignment="1">
      <alignment horizontal="center"/>
    </xf>
    <xf numFmtId="0" fontId="6" fillId="12" borderId="1" xfId="0" applyFont="1" applyFill="1" applyBorder="1" applyAlignment="1">
      <alignment horizontal="center"/>
    </xf>
    <xf numFmtId="175" fontId="6" fillId="13" borderId="1" xfId="0" applyNumberFormat="1" applyFont="1" applyFill="1" applyBorder="1" applyAlignment="1">
      <alignment horizontal="center"/>
    </xf>
    <xf numFmtId="175" fontId="6" fillId="14" borderId="1" xfId="0" applyNumberFormat="1" applyFont="1" applyFill="1" applyBorder="1" applyAlignment="1">
      <alignment horizontal="center"/>
    </xf>
    <xf numFmtId="173" fontId="6" fillId="15" borderId="1" xfId="0" applyNumberFormat="1" applyFont="1" applyFill="1" applyBorder="1" applyAlignment="1">
      <alignment horizontal="center"/>
    </xf>
    <xf numFmtId="173" fontId="6" fillId="16" borderId="1" xfId="0" applyNumberFormat="1" applyFont="1" applyFill="1" applyBorder="1" applyAlignment="1">
      <alignment horizontal="center"/>
    </xf>
    <xf numFmtId="174" fontId="6" fillId="17" borderId="1" xfId="0" applyNumberFormat="1" applyFont="1" applyFill="1" applyBorder="1" applyAlignment="1">
      <alignment horizontal="center"/>
    </xf>
    <xf numFmtId="174" fontId="6" fillId="18" borderId="1" xfId="0" applyNumberFormat="1" applyFont="1" applyFill="1" applyBorder="1" applyAlignment="1">
      <alignment horizontal="center"/>
    </xf>
    <xf numFmtId="1" fontId="6" fillId="11" borderId="1" xfId="0" applyNumberFormat="1" applyFont="1" applyFill="1" applyBorder="1" applyAlignment="1">
      <alignment horizontal="center"/>
    </xf>
    <xf numFmtId="1" fontId="6" fillId="12" borderId="1" xfId="0" applyNumberFormat="1" applyFont="1" applyFill="1" applyBorder="1" applyAlignment="1">
      <alignment horizontal="center"/>
    </xf>
    <xf numFmtId="176" fontId="6" fillId="11" borderId="1" xfId="0" applyNumberFormat="1" applyFont="1" applyFill="1" applyBorder="1" applyAlignment="1">
      <alignment horizontal="center"/>
    </xf>
    <xf numFmtId="176" fontId="6" fillId="12" borderId="1" xfId="0" applyNumberFormat="1" applyFont="1" applyFill="1" applyBorder="1" applyAlignment="1">
      <alignment horizontal="center"/>
    </xf>
    <xf numFmtId="2" fontId="6" fillId="11" borderId="1" xfId="0" applyNumberFormat="1" applyFont="1" applyFill="1" applyBorder="1" applyAlignment="1">
      <alignment horizontal="center"/>
    </xf>
    <xf numFmtId="2" fontId="6" fillId="12" borderId="1" xfId="0" applyNumberFormat="1" applyFont="1" applyFill="1" applyBorder="1" applyAlignment="1">
      <alignment horizontal="center"/>
    </xf>
    <xf numFmtId="177" fontId="6" fillId="11" borderId="1" xfId="0" applyNumberFormat="1" applyFont="1" applyFill="1" applyBorder="1" applyAlignment="1">
      <alignment horizontal="center"/>
    </xf>
    <xf numFmtId="177" fontId="6" fillId="12" borderId="1" xfId="0" applyNumberFormat="1" applyFont="1" applyFill="1" applyBorder="1" applyAlignment="1">
      <alignment horizontal="center"/>
    </xf>
    <xf numFmtId="178" fontId="6" fillId="11" borderId="1" xfId="0" applyNumberFormat="1" applyFont="1" applyFill="1" applyBorder="1" applyAlignment="1">
      <alignment horizontal="center"/>
    </xf>
    <xf numFmtId="178" fontId="6" fillId="12" borderId="1" xfId="0" applyNumberFormat="1" applyFont="1" applyFill="1" applyBorder="1" applyAlignment="1">
      <alignment horizontal="center"/>
    </xf>
    <xf numFmtId="179" fontId="6" fillId="11" borderId="1" xfId="0" applyNumberFormat="1" applyFont="1" applyFill="1" applyBorder="1" applyAlignment="1">
      <alignment horizontal="center"/>
    </xf>
    <xf numFmtId="179" fontId="6" fillId="12" borderId="1" xfId="0" applyNumberFormat="1" applyFont="1" applyFill="1" applyBorder="1" applyAlignment="1">
      <alignment horizontal="center"/>
    </xf>
    <xf numFmtId="180" fontId="6" fillId="19" borderId="1" xfId="0" applyNumberFormat="1" applyFont="1" applyFill="1" applyBorder="1" applyAlignment="1">
      <alignment horizontal="center"/>
    </xf>
    <xf numFmtId="180" fontId="6" fillId="20" borderId="1" xfId="0" applyNumberFormat="1" applyFont="1" applyFill="1" applyBorder="1" applyAlignment="1">
      <alignment horizontal="center"/>
    </xf>
    <xf numFmtId="0" fontId="0" fillId="21" borderId="1" xfId="0" applyFill="1" applyBorder="1"/>
    <xf numFmtId="0" fontId="0" fillId="23" borderId="1" xfId="0" applyFill="1" applyBorder="1" applyAlignment="1">
      <alignment horizontal="center" vertical="center" wrapText="1"/>
    </xf>
    <xf numFmtId="0" fontId="0" fillId="23" borderId="3" xfId="0" applyFill="1" applyBorder="1" applyAlignment="1">
      <alignment horizontal="center" vertical="center" wrapText="1"/>
    </xf>
    <xf numFmtId="0" fontId="0" fillId="23" borderId="2" xfId="0" applyFill="1" applyBorder="1" applyAlignment="1">
      <alignment horizontal="center" vertical="center" wrapText="1"/>
    </xf>
    <xf numFmtId="0" fontId="7" fillId="22" borderId="8" xfId="0" applyFont="1" applyFill="1" applyBorder="1" applyAlignment="1">
      <alignment horizontal="center" vertical="center" wrapText="1"/>
    </xf>
    <xf numFmtId="0" fontId="7" fillId="22" borderId="9" xfId="0" applyFont="1" applyFill="1" applyBorder="1" applyAlignment="1">
      <alignment horizontal="center" vertical="center" wrapText="1"/>
    </xf>
    <xf numFmtId="0" fontId="7" fillId="22" borderId="10" xfId="0" applyFont="1" applyFill="1" applyBorder="1" applyAlignment="1">
      <alignment horizontal="center" vertical="center" wrapText="1"/>
    </xf>
    <xf numFmtId="0" fontId="0" fillId="23" borderId="11" xfId="0" applyFill="1" applyBorder="1" applyAlignment="1">
      <alignment horizontal="center" vertical="center" wrapText="1"/>
    </xf>
    <xf numFmtId="0" fontId="0" fillId="23" borderId="4" xfId="0" applyFill="1" applyBorder="1" applyAlignment="1">
      <alignment horizontal="center" vertical="center" wrapText="1"/>
    </xf>
    <xf numFmtId="0" fontId="0" fillId="23" borderId="12" xfId="0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0" xfId="0" pivotButton="1"/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49" fontId="0" fillId="0" borderId="0" xfId="0" applyNumberFormat="1"/>
    <xf numFmtId="0" fontId="0" fillId="0" borderId="13" xfId="0" applyBorder="1"/>
    <xf numFmtId="0" fontId="0" fillId="0" borderId="11" xfId="0" applyBorder="1"/>
    <xf numFmtId="0" fontId="0" fillId="0" borderId="15" xfId="0" applyBorder="1"/>
    <xf numFmtId="0" fontId="0" fillId="0" borderId="16" xfId="0" applyBorder="1"/>
    <xf numFmtId="0" fontId="0" fillId="0" borderId="8" xfId="0" applyBorder="1"/>
    <xf numFmtId="0" fontId="0" fillId="0" borderId="12" xfId="0" applyBorder="1"/>
    <xf numFmtId="0" fontId="9" fillId="22" borderId="17" xfId="0" applyFont="1" applyFill="1" applyBorder="1" applyAlignment="1">
      <alignment horizontal="center"/>
    </xf>
    <xf numFmtId="0" fontId="6" fillId="24" borderId="17" xfId="0" applyFont="1" applyFill="1" applyBorder="1" applyAlignment="1">
      <alignment horizontal="center"/>
    </xf>
    <xf numFmtId="0" fontId="10" fillId="22" borderId="17" xfId="0" applyFont="1" applyFill="1" applyBorder="1" applyAlignment="1">
      <alignment horizontal="center"/>
    </xf>
    <xf numFmtId="0" fontId="11" fillId="24" borderId="17" xfId="0" applyFont="1" applyFill="1" applyBorder="1" applyAlignment="1">
      <alignment horizontal="center"/>
    </xf>
    <xf numFmtId="0" fontId="12" fillId="24" borderId="17" xfId="0" applyFont="1" applyFill="1" applyBorder="1" applyAlignment="1">
      <alignment horizontal="center"/>
    </xf>
    <xf numFmtId="0" fontId="10" fillId="26" borderId="17" xfId="0" applyFont="1" applyFill="1" applyBorder="1" applyAlignment="1">
      <alignment horizontal="center"/>
    </xf>
    <xf numFmtId="0" fontId="0" fillId="0" borderId="0" xfId="0" applyFill="1" applyBorder="1" applyAlignment="1"/>
    <xf numFmtId="0" fontId="0" fillId="0" borderId="18" xfId="0" applyFill="1" applyBorder="1" applyAlignment="1"/>
    <xf numFmtId="0" fontId="13" fillId="0" borderId="19" xfId="0" applyFont="1" applyFill="1" applyBorder="1" applyAlignment="1">
      <alignment horizontal="center"/>
    </xf>
    <xf numFmtId="0" fontId="13" fillId="0" borderId="20" xfId="0" applyFont="1" applyFill="1" applyBorder="1" applyAlignment="1">
      <alignment horizontal="center"/>
    </xf>
    <xf numFmtId="0" fontId="14" fillId="25" borderId="17" xfId="0" applyFont="1" applyFill="1" applyBorder="1" applyAlignment="1">
      <alignment horizontal="center"/>
    </xf>
    <xf numFmtId="0" fontId="13" fillId="0" borderId="2" xfId="0" applyFont="1" applyFill="1" applyBorder="1" applyAlignment="1">
      <alignment horizontal="center"/>
    </xf>
    <xf numFmtId="0" fontId="13" fillId="0" borderId="3" xfId="0" applyFont="1" applyFill="1" applyBorder="1" applyAlignment="1">
      <alignment horizontal="center"/>
    </xf>
    <xf numFmtId="0" fontId="0" fillId="0" borderId="14" xfId="0" applyFill="1" applyBorder="1" applyAlignment="1"/>
    <xf numFmtId="0" fontId="0" fillId="0" borderId="15" xfId="0" applyFill="1" applyBorder="1" applyAlignment="1"/>
    <xf numFmtId="0" fontId="0" fillId="0" borderId="0" xfId="0" applyBorder="1"/>
    <xf numFmtId="0" fontId="0" fillId="0" borderId="10" xfId="0" applyFill="1" applyBorder="1" applyAlignment="1"/>
    <xf numFmtId="0" fontId="0" fillId="0" borderId="16" xfId="0" applyFill="1" applyBorder="1" applyAlignment="1"/>
    <xf numFmtId="0" fontId="0" fillId="0" borderId="8" xfId="0" applyFill="1" applyBorder="1" applyAlignment="1"/>
    <xf numFmtId="0" fontId="13" fillId="0" borderId="1" xfId="0" applyFont="1" applyFill="1" applyBorder="1" applyAlignment="1">
      <alignment horizontal="center"/>
    </xf>
    <xf numFmtId="0" fontId="0" fillId="0" borderId="1" xfId="0" applyFill="1" applyBorder="1" applyAlignment="1"/>
    <xf numFmtId="0" fontId="13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15" fillId="0" borderId="21" xfId="0" applyFont="1" applyFill="1" applyBorder="1" applyAlignment="1">
      <alignment horizontal="right"/>
    </xf>
    <xf numFmtId="0" fontId="15" fillId="0" borderId="0" xfId="0" applyFont="1" applyFill="1" applyBorder="1" applyAlignment="1">
      <alignment horizontal="right"/>
    </xf>
    <xf numFmtId="0" fontId="15" fillId="0" borderId="14" xfId="0" applyFont="1" applyFill="1" applyBorder="1" applyAlignment="1">
      <alignment horizontal="right"/>
    </xf>
    <xf numFmtId="0" fontId="15" fillId="0" borderId="15" xfId="0" applyFont="1" applyFill="1" applyBorder="1" applyAlignment="1">
      <alignment horizontal="right"/>
    </xf>
    <xf numFmtId="0" fontId="0" fillId="0" borderId="12" xfId="0" applyFill="1" applyBorder="1" applyAlignment="1"/>
    <xf numFmtId="0" fontId="0" fillId="0" borderId="13" xfId="0" applyFill="1" applyBorder="1" applyAlignment="1"/>
    <xf numFmtId="0" fontId="13" fillId="0" borderId="12" xfId="0" applyFont="1" applyFill="1" applyBorder="1" applyAlignment="1">
      <alignment horizontal="center"/>
    </xf>
    <xf numFmtId="0" fontId="13" fillId="0" borderId="13" xfId="0" applyFont="1" applyFill="1" applyBorder="1" applyAlignment="1">
      <alignment horizontal="center"/>
    </xf>
    <xf numFmtId="0" fontId="13" fillId="0" borderId="11" xfId="0" applyFont="1" applyFill="1" applyBorder="1" applyAlignment="1">
      <alignment horizontal="center"/>
    </xf>
    <xf numFmtId="0" fontId="0" fillId="0" borderId="11" xfId="0" applyFill="1" applyBorder="1" applyAlignment="1"/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0" fillId="0" borderId="14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27" borderId="1" xfId="0" applyFill="1" applyBorder="1" applyAlignment="1"/>
    <xf numFmtId="0" fontId="13" fillId="28" borderId="1" xfId="0" applyFont="1" applyFill="1" applyBorder="1" applyAlignment="1">
      <alignment horizontal="center"/>
    </xf>
    <xf numFmtId="0" fontId="16" fillId="28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3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3" fillId="29" borderId="1" xfId="0" applyFont="1" applyFill="1" applyBorder="1" applyAlignment="1">
      <alignment horizontal="center"/>
    </xf>
    <xf numFmtId="0" fontId="0" fillId="2" borderId="1" xfId="0" applyFill="1" applyBorder="1" applyAlignment="1"/>
    <xf numFmtId="0" fontId="7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</cellXfs>
  <cellStyles count="1">
    <cellStyle name="Normal" xfId="0" builtinId="0"/>
  </cellStyles>
  <dxfs count="35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/>
        <color rgb="FFC0000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000000"/>
        <name val="Edwardian Script ITC"/>
        <family val="4"/>
        <scheme val="none"/>
      </font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DC39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balance</a:t>
            </a:r>
            <a:r>
              <a:rPr lang="en-IN" baseline="0"/>
              <a:t> and estimated salary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FORMATING!$BE$2:$BE$21</c:f>
              <c:numCache>
                <c:formatCode>General</c:formatCode>
                <c:ptCount val="20"/>
                <c:pt idx="0">
                  <c:v>90000</c:v>
                </c:pt>
                <c:pt idx="1">
                  <c:v>55000</c:v>
                </c:pt>
                <c:pt idx="2">
                  <c:v>100000</c:v>
                </c:pt>
                <c:pt idx="3">
                  <c:v>45000</c:v>
                </c:pt>
                <c:pt idx="4">
                  <c:v>60000</c:v>
                </c:pt>
                <c:pt idx="5">
                  <c:v>40000</c:v>
                </c:pt>
                <c:pt idx="6">
                  <c:v>48000</c:v>
                </c:pt>
                <c:pt idx="7">
                  <c:v>110000</c:v>
                </c:pt>
                <c:pt idx="8">
                  <c:v>75000</c:v>
                </c:pt>
                <c:pt idx="9">
                  <c:v>130000</c:v>
                </c:pt>
                <c:pt idx="10">
                  <c:v>120000</c:v>
                </c:pt>
                <c:pt idx="11">
                  <c:v>85000</c:v>
                </c:pt>
                <c:pt idx="12">
                  <c:v>30000</c:v>
                </c:pt>
                <c:pt idx="13">
                  <c:v>50000</c:v>
                </c:pt>
                <c:pt idx="14">
                  <c:v>20000</c:v>
                </c:pt>
                <c:pt idx="15">
                  <c:v>35000</c:v>
                </c:pt>
                <c:pt idx="16">
                  <c:v>65000</c:v>
                </c:pt>
                <c:pt idx="17">
                  <c:v>70000</c:v>
                </c:pt>
                <c:pt idx="18">
                  <c:v>72000</c:v>
                </c:pt>
                <c:pt idx="19">
                  <c:v>25000</c:v>
                </c:pt>
              </c:numCache>
            </c:numRef>
          </c:xVal>
          <c:yVal>
            <c:numRef>
              <c:f>FORMATING!$BF$2:$BF$21</c:f>
              <c:numCache>
                <c:formatCode>General</c:formatCode>
                <c:ptCount val="20"/>
                <c:pt idx="0">
                  <c:v>85000</c:v>
                </c:pt>
                <c:pt idx="1">
                  <c:v>62000</c:v>
                </c:pt>
                <c:pt idx="2">
                  <c:v>95000</c:v>
                </c:pt>
                <c:pt idx="3">
                  <c:v>53000</c:v>
                </c:pt>
                <c:pt idx="4">
                  <c:v>70000</c:v>
                </c:pt>
                <c:pt idx="5">
                  <c:v>52000</c:v>
                </c:pt>
                <c:pt idx="6">
                  <c:v>58000</c:v>
                </c:pt>
                <c:pt idx="7">
                  <c:v>98000</c:v>
                </c:pt>
                <c:pt idx="8">
                  <c:v>78000</c:v>
                </c:pt>
                <c:pt idx="9">
                  <c:v>110000</c:v>
                </c:pt>
                <c:pt idx="10">
                  <c:v>105000</c:v>
                </c:pt>
                <c:pt idx="11">
                  <c:v>88000</c:v>
                </c:pt>
                <c:pt idx="12">
                  <c:v>45000</c:v>
                </c:pt>
                <c:pt idx="13">
                  <c:v>60000</c:v>
                </c:pt>
                <c:pt idx="14">
                  <c:v>40000</c:v>
                </c:pt>
                <c:pt idx="15">
                  <c:v>50000</c:v>
                </c:pt>
                <c:pt idx="16">
                  <c:v>67000</c:v>
                </c:pt>
                <c:pt idx="17">
                  <c:v>75000</c:v>
                </c:pt>
                <c:pt idx="18">
                  <c:v>76000</c:v>
                </c:pt>
                <c:pt idx="19">
                  <c:v>42000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355-436C-8A97-D6FB707515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9727968"/>
        <c:axId val="2119728448"/>
      </c:scatterChart>
      <c:valAx>
        <c:axId val="2119727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9728448"/>
        <c:crosses val="autoZero"/>
        <c:crossBetween val="midCat"/>
      </c:valAx>
      <c:valAx>
        <c:axId val="2119728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97279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N"/>
              <a:t>Tenure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flat" cmpd="dbl" algn="ctr">
              <a:solidFill>
                <a:schemeClr val="accent2">
                  <a:alpha val="5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noFill/>
              <a:ln w="34925" cap="flat" cmpd="dbl" algn="ctr">
                <a:solidFill>
                  <a:schemeClr val="accent2">
                    <a:lumMod val="75000"/>
                    <a:alpha val="70000"/>
                  </a:schemeClr>
                </a:solidFill>
                <a:round/>
              </a:ln>
              <a:effectLst/>
            </c:spPr>
          </c:marker>
          <c:yVal>
            <c:numRef>
              <c:f>FORMATING!$BD$2:$BD$21</c:f>
              <c:numCache>
                <c:formatCode>General</c:formatCode>
                <c:ptCount val="20"/>
                <c:pt idx="0">
                  <c:v>9</c:v>
                </c:pt>
                <c:pt idx="1">
                  <c:v>5</c:v>
                </c:pt>
                <c:pt idx="2">
                  <c:v>8</c:v>
                </c:pt>
                <c:pt idx="3">
                  <c:v>5</c:v>
                </c:pt>
                <c:pt idx="4">
                  <c:v>6</c:v>
                </c:pt>
                <c:pt idx="5">
                  <c:v>4</c:v>
                </c:pt>
                <c:pt idx="6">
                  <c:v>5</c:v>
                </c:pt>
                <c:pt idx="7">
                  <c:v>9</c:v>
                </c:pt>
                <c:pt idx="8">
                  <c:v>7</c:v>
                </c:pt>
                <c:pt idx="9">
                  <c:v>10</c:v>
                </c:pt>
                <c:pt idx="10">
                  <c:v>6</c:v>
                </c:pt>
                <c:pt idx="11">
                  <c:v>8</c:v>
                </c:pt>
                <c:pt idx="12">
                  <c:v>3</c:v>
                </c:pt>
                <c:pt idx="13">
                  <c:v>5</c:v>
                </c:pt>
                <c:pt idx="14">
                  <c:v>2</c:v>
                </c:pt>
                <c:pt idx="15">
                  <c:v>4</c:v>
                </c:pt>
                <c:pt idx="16">
                  <c:v>6</c:v>
                </c:pt>
                <c:pt idx="17">
                  <c:v>7</c:v>
                </c:pt>
                <c:pt idx="18">
                  <c:v>7</c:v>
                </c:pt>
                <c:pt idx="19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227-4AC9-806C-C7EE7EFB07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5355504"/>
        <c:axId val="2085352624"/>
      </c:scatterChart>
      <c:valAx>
        <c:axId val="2085355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5352624"/>
        <c:crosses val="autoZero"/>
        <c:crossBetween val="midCat"/>
      </c:valAx>
      <c:valAx>
        <c:axId val="2085352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53555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balance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FORMATING!$BE$2:$BE$21</c:f>
              <c:numCache>
                <c:formatCode>General</c:formatCode>
                <c:ptCount val="20"/>
                <c:pt idx="0">
                  <c:v>90000</c:v>
                </c:pt>
                <c:pt idx="1">
                  <c:v>55000</c:v>
                </c:pt>
                <c:pt idx="2">
                  <c:v>100000</c:v>
                </c:pt>
                <c:pt idx="3">
                  <c:v>45000</c:v>
                </c:pt>
                <c:pt idx="4">
                  <c:v>60000</c:v>
                </c:pt>
                <c:pt idx="5">
                  <c:v>40000</c:v>
                </c:pt>
                <c:pt idx="6">
                  <c:v>48000</c:v>
                </c:pt>
                <c:pt idx="7">
                  <c:v>110000</c:v>
                </c:pt>
                <c:pt idx="8">
                  <c:v>75000</c:v>
                </c:pt>
                <c:pt idx="9">
                  <c:v>130000</c:v>
                </c:pt>
                <c:pt idx="10">
                  <c:v>120000</c:v>
                </c:pt>
                <c:pt idx="11">
                  <c:v>85000</c:v>
                </c:pt>
                <c:pt idx="12">
                  <c:v>30000</c:v>
                </c:pt>
                <c:pt idx="13">
                  <c:v>50000</c:v>
                </c:pt>
                <c:pt idx="14">
                  <c:v>20000</c:v>
                </c:pt>
                <c:pt idx="15">
                  <c:v>35000</c:v>
                </c:pt>
                <c:pt idx="16">
                  <c:v>65000</c:v>
                </c:pt>
                <c:pt idx="17">
                  <c:v>70000</c:v>
                </c:pt>
                <c:pt idx="18">
                  <c:v>72000</c:v>
                </c:pt>
                <c:pt idx="19">
                  <c:v>25000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6A-4E25-B054-3B752FF44F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3698144"/>
        <c:axId val="23698624"/>
      </c:barChart>
      <c:catAx>
        <c:axId val="23698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98624"/>
        <c:crosses val="autoZero"/>
        <c:auto val="1"/>
        <c:lblAlgn val="ctr"/>
        <c:lblOffset val="100"/>
        <c:noMultiLvlLbl val="0"/>
      </c:catAx>
      <c:valAx>
        <c:axId val="23698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98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[MODULE 2_3,4.xlsx]FORMATING!PivotTable13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Count of Location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noFill/>
          <a:ln w="9525" cap="flat" cmpd="sng" algn="ctr">
            <a:solidFill>
              <a:schemeClr val="accent6"/>
            </a:solidFill>
            <a:miter lim="800000"/>
          </a:ln>
          <a:effectLst>
            <a:glow rad="63500">
              <a:schemeClr val="accent6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noFill/>
          <a:ln w="9525" cap="flat" cmpd="sng" algn="ctr">
            <a:solidFill>
              <a:schemeClr val="accent6"/>
            </a:solidFill>
            <a:miter lim="800000"/>
          </a:ln>
          <a:effectLst>
            <a:glow rad="63500">
              <a:schemeClr val="accent6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noFill/>
          <a:ln w="9525" cap="flat" cmpd="sng" algn="ctr">
            <a:solidFill>
              <a:schemeClr val="accent6"/>
            </a:solidFill>
            <a:miter lim="800000"/>
          </a:ln>
          <a:effectLst>
            <a:glow rad="63500">
              <a:schemeClr val="accent6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noFill/>
          <a:ln w="9525" cap="flat" cmpd="sng" algn="ctr">
            <a:solidFill>
              <a:schemeClr val="accent6"/>
            </a:solidFill>
            <a:miter lim="800000"/>
          </a:ln>
          <a:effectLst>
            <a:glow rad="63500">
              <a:schemeClr val="accent6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FORMATING!$BT$14</c:f>
              <c:strCache>
                <c:ptCount val="1"/>
                <c:pt idx="0">
                  <c:v>Sum of Age</c:v>
                </c:pt>
              </c:strCache>
            </c:strRef>
          </c:tx>
          <c:spPr>
            <a:noFill/>
            <a:ln w="9525" cap="flat" cmpd="sng" algn="ctr">
              <a:solidFill>
                <a:schemeClr val="accent6"/>
              </a:solidFill>
              <a:miter lim="800000"/>
            </a:ln>
            <a:effectLst>
              <a:glow rad="63500">
                <a:schemeClr val="accent6">
                  <a:satMod val="175000"/>
                  <a:alpha val="25000"/>
                </a:schemeClr>
              </a:glow>
            </a:effectLst>
          </c:spPr>
          <c:invertIfNegative val="0"/>
          <c:cat>
            <c:multiLvlStrRef>
              <c:f>FORMATING!$BR$15:$BS$28</c:f>
              <c:multiLvlStrCache>
                <c:ptCount val="14"/>
                <c:lvl>
                  <c:pt idx="0">
                    <c:v>Female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Male</c:v>
                  </c:pt>
                  <c:pt idx="4">
                    <c:v>Female</c:v>
                  </c:pt>
                  <c:pt idx="5">
                    <c:v>Male</c:v>
                  </c:pt>
                  <c:pt idx="6">
                    <c:v>Female</c:v>
                  </c:pt>
                  <c:pt idx="7">
                    <c:v>Male</c:v>
                  </c:pt>
                  <c:pt idx="8">
                    <c:v>Female</c:v>
                  </c:pt>
                  <c:pt idx="9">
                    <c:v>Male</c:v>
                  </c:pt>
                  <c:pt idx="10">
                    <c:v>Female</c:v>
                  </c:pt>
                  <c:pt idx="11">
                    <c:v>Male</c:v>
                  </c:pt>
                  <c:pt idx="12">
                    <c:v>Female</c:v>
                  </c:pt>
                  <c:pt idx="13">
                    <c:v>Male</c:v>
                  </c:pt>
                </c:lvl>
                <c:lvl>
                  <c:pt idx="0">
                    <c:v>Bangalore</c:v>
                  </c:pt>
                  <c:pt idx="2">
                    <c:v>Chennai</c:v>
                  </c:pt>
                  <c:pt idx="4">
                    <c:v>Delhi</c:v>
                  </c:pt>
                  <c:pt idx="6">
                    <c:v>Hyderabad</c:v>
                  </c:pt>
                  <c:pt idx="8">
                    <c:v>Kolkata</c:v>
                  </c:pt>
                  <c:pt idx="10">
                    <c:v>Mumbai</c:v>
                  </c:pt>
                  <c:pt idx="12">
                    <c:v>Pune</c:v>
                  </c:pt>
                </c:lvl>
              </c:multiLvlStrCache>
            </c:multiLvlStrRef>
          </c:cat>
          <c:val>
            <c:numRef>
              <c:f>FORMATING!$BT$15:$BT$28</c:f>
              <c:numCache>
                <c:formatCode>General</c:formatCode>
                <c:ptCount val="14"/>
                <c:pt idx="0">
                  <c:v>46</c:v>
                </c:pt>
                <c:pt idx="1">
                  <c:v>65</c:v>
                </c:pt>
                <c:pt idx="2">
                  <c:v>41</c:v>
                </c:pt>
                <c:pt idx="3">
                  <c:v>65</c:v>
                </c:pt>
                <c:pt idx="4">
                  <c:v>98</c:v>
                </c:pt>
                <c:pt idx="5">
                  <c:v>30</c:v>
                </c:pt>
                <c:pt idx="6">
                  <c:v>38</c:v>
                </c:pt>
                <c:pt idx="7">
                  <c:v>79</c:v>
                </c:pt>
                <c:pt idx="8">
                  <c:v>85</c:v>
                </c:pt>
                <c:pt idx="9">
                  <c:v>28</c:v>
                </c:pt>
                <c:pt idx="10">
                  <c:v>74</c:v>
                </c:pt>
                <c:pt idx="11">
                  <c:v>33</c:v>
                </c:pt>
                <c:pt idx="12">
                  <c:v>39</c:v>
                </c:pt>
                <c:pt idx="13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B5F-466B-A354-C314A972E121}"/>
            </c:ext>
          </c:extLst>
        </c:ser>
        <c:ser>
          <c:idx val="1"/>
          <c:order val="1"/>
          <c:tx>
            <c:strRef>
              <c:f>FORMATING!$BU$14</c:f>
              <c:strCache>
                <c:ptCount val="1"/>
                <c:pt idx="0">
                  <c:v>Sum of Tenure</c:v>
                </c:pt>
              </c:strCache>
            </c:strRef>
          </c:tx>
          <c:spPr>
            <a:noFill/>
            <a:ln w="9525" cap="flat" cmpd="sng" algn="ctr">
              <a:solidFill>
                <a:schemeClr val="accent5"/>
              </a:solidFill>
              <a:miter lim="800000"/>
            </a:ln>
            <a:effectLst>
              <a:glow rad="63500">
                <a:schemeClr val="accent5">
                  <a:satMod val="175000"/>
                  <a:alpha val="25000"/>
                </a:schemeClr>
              </a:glow>
            </a:effectLst>
          </c:spPr>
          <c:invertIfNegative val="0"/>
          <c:cat>
            <c:multiLvlStrRef>
              <c:f>FORMATING!$BR$15:$BS$28</c:f>
              <c:multiLvlStrCache>
                <c:ptCount val="14"/>
                <c:lvl>
                  <c:pt idx="0">
                    <c:v>Female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Male</c:v>
                  </c:pt>
                  <c:pt idx="4">
                    <c:v>Female</c:v>
                  </c:pt>
                  <c:pt idx="5">
                    <c:v>Male</c:v>
                  </c:pt>
                  <c:pt idx="6">
                    <c:v>Female</c:v>
                  </c:pt>
                  <c:pt idx="7">
                    <c:v>Male</c:v>
                  </c:pt>
                  <c:pt idx="8">
                    <c:v>Female</c:v>
                  </c:pt>
                  <c:pt idx="9">
                    <c:v>Male</c:v>
                  </c:pt>
                  <c:pt idx="10">
                    <c:v>Female</c:v>
                  </c:pt>
                  <c:pt idx="11">
                    <c:v>Male</c:v>
                  </c:pt>
                  <c:pt idx="12">
                    <c:v>Female</c:v>
                  </c:pt>
                  <c:pt idx="13">
                    <c:v>Male</c:v>
                  </c:pt>
                </c:lvl>
                <c:lvl>
                  <c:pt idx="0">
                    <c:v>Bangalore</c:v>
                  </c:pt>
                  <c:pt idx="2">
                    <c:v>Chennai</c:v>
                  </c:pt>
                  <c:pt idx="4">
                    <c:v>Delhi</c:v>
                  </c:pt>
                  <c:pt idx="6">
                    <c:v>Hyderabad</c:v>
                  </c:pt>
                  <c:pt idx="8">
                    <c:v>Kolkata</c:v>
                  </c:pt>
                  <c:pt idx="10">
                    <c:v>Mumbai</c:v>
                  </c:pt>
                  <c:pt idx="12">
                    <c:v>Pune</c:v>
                  </c:pt>
                </c:lvl>
              </c:multiLvlStrCache>
            </c:multiLvlStrRef>
          </c:cat>
          <c:val>
            <c:numRef>
              <c:f>FORMATING!$BU$15:$BU$28</c:f>
              <c:numCache>
                <c:formatCode>General</c:formatCode>
                <c:ptCount val="14"/>
                <c:pt idx="0">
                  <c:v>9</c:v>
                </c:pt>
                <c:pt idx="1">
                  <c:v>9</c:v>
                </c:pt>
                <c:pt idx="2">
                  <c:v>7</c:v>
                </c:pt>
                <c:pt idx="3">
                  <c:v>9</c:v>
                </c:pt>
                <c:pt idx="4">
                  <c:v>19</c:v>
                </c:pt>
                <c:pt idx="5">
                  <c:v>4</c:v>
                </c:pt>
                <c:pt idx="6">
                  <c:v>6</c:v>
                </c:pt>
                <c:pt idx="7">
                  <c:v>13</c:v>
                </c:pt>
                <c:pt idx="8">
                  <c:v>15</c:v>
                </c:pt>
                <c:pt idx="9">
                  <c:v>3</c:v>
                </c:pt>
                <c:pt idx="10">
                  <c:v>12</c:v>
                </c:pt>
                <c:pt idx="11">
                  <c:v>5</c:v>
                </c:pt>
                <c:pt idx="12">
                  <c:v>6</c:v>
                </c:pt>
                <c:pt idx="1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81D-47B1-8A62-C9EEE6AF34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24028720"/>
        <c:axId val="24027760"/>
      </c:barChart>
      <c:catAx>
        <c:axId val="2402872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27760"/>
        <c:crosses val="autoZero"/>
        <c:auto val="1"/>
        <c:lblAlgn val="ctr"/>
        <c:lblOffset val="100"/>
        <c:noMultiLvlLbl val="0"/>
      </c:catAx>
      <c:valAx>
        <c:axId val="2402776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28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16F-4C27-86A2-5395C59B842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16F-4C27-86A2-5395C59B842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16F-4C27-86A2-5395C59B842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16F-4C27-86A2-5395C59B842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16F-4C27-86A2-5395C59B842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16F-4C27-86A2-5395C59B842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116F-4C27-86A2-5395C59B842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116F-4C27-86A2-5395C59B842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116F-4C27-86A2-5395C59B842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116F-4C27-86A2-5395C59B842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116F-4C27-86A2-5395C59B842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116F-4C27-86A2-5395C59B8427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116F-4C27-86A2-5395C59B8427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116F-4C27-86A2-5395C59B8427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116F-4C27-86A2-5395C59B8427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116F-4C27-86A2-5395C59B8427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116F-4C27-86A2-5395C59B8427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116F-4C27-86A2-5395C59B8427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116F-4C27-86A2-5395C59B8427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116F-4C27-86A2-5395C59B8427}"/>
              </c:ext>
            </c:extLst>
          </c:dPt>
          <c:val>
            <c:numRef>
              <c:f>FORMATING!$BC$2:$BC$21</c:f>
              <c:numCache>
                <c:formatCode>General</c:formatCode>
                <c:ptCount val="20"/>
                <c:pt idx="0">
                  <c:v>50</c:v>
                </c:pt>
                <c:pt idx="1">
                  <c:v>33</c:v>
                </c:pt>
                <c:pt idx="2">
                  <c:v>45</c:v>
                </c:pt>
                <c:pt idx="3">
                  <c:v>32</c:v>
                </c:pt>
                <c:pt idx="4">
                  <c:v>39</c:v>
                </c:pt>
                <c:pt idx="5">
                  <c:v>31</c:v>
                </c:pt>
                <c:pt idx="6">
                  <c:v>34</c:v>
                </c:pt>
                <c:pt idx="7">
                  <c:v>46</c:v>
                </c:pt>
                <c:pt idx="8">
                  <c:v>41</c:v>
                </c:pt>
                <c:pt idx="9">
                  <c:v>48</c:v>
                </c:pt>
                <c:pt idx="10">
                  <c:v>38</c:v>
                </c:pt>
                <c:pt idx="11">
                  <c:v>44</c:v>
                </c:pt>
                <c:pt idx="12">
                  <c:v>29</c:v>
                </c:pt>
                <c:pt idx="13">
                  <c:v>35</c:v>
                </c:pt>
                <c:pt idx="14">
                  <c:v>27</c:v>
                </c:pt>
                <c:pt idx="15">
                  <c:v>30</c:v>
                </c:pt>
                <c:pt idx="16">
                  <c:v>36</c:v>
                </c:pt>
                <c:pt idx="17">
                  <c:v>42</c:v>
                </c:pt>
                <c:pt idx="18">
                  <c:v>40</c:v>
                </c:pt>
                <c:pt idx="19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7A-4174-86A3-0D3CD8BBDB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flat" cmpd="dbl" algn="ctr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34925" cap="flat" cmpd="dbl" algn="ctr">
        <a:solidFill>
          <a:schemeClr val="phClr">
            <a:lumMod val="75000"/>
            <a:alpha val="70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kern="1200" spc="0" normalizeH="0" baseline="0"/>
  </cs:title>
  <cs:trendline>
    <cs:lnRef idx="0">
      <cs:styleClr val="0"/>
    </cs:lnRef>
    <cs:fillRef idx="0"/>
    <cs:effectRef idx="0"/>
    <cs:fontRef idx="minor">
      <a:schemeClr val="tx1"/>
    </cs:fontRef>
    <cs:spPr>
      <a:ln w="38100" cap="rnd" cmpd="sng" algn="ctr">
        <a:solidFill>
          <a:schemeClr val="phClr">
            <a:lumMod val="75000"/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60</xdr:col>
      <xdr:colOff>0</xdr:colOff>
      <xdr:row>2</xdr:row>
      <xdr:rowOff>209550</xdr:rowOff>
    </xdr:from>
    <xdr:to>
      <xdr:col>67</xdr:col>
      <xdr:colOff>304800</xdr:colOff>
      <xdr:row>9</xdr:row>
      <xdr:rowOff>352425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AD1334-544A-19BD-82AE-B25C6FB7EF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60</xdr:col>
      <xdr:colOff>47625</xdr:colOff>
      <xdr:row>11</xdr:row>
      <xdr:rowOff>19050</xdr:rowOff>
    </xdr:from>
    <xdr:to>
      <xdr:col>67</xdr:col>
      <xdr:colOff>352425</xdr:colOff>
      <xdr:row>18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5ADFAE9-8BF6-C9A9-A3CF-6A0B6D714E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68</xdr:col>
      <xdr:colOff>600074</xdr:colOff>
      <xdr:row>3</xdr:row>
      <xdr:rowOff>19050</xdr:rowOff>
    </xdr:from>
    <xdr:to>
      <xdr:col>75</xdr:col>
      <xdr:colOff>609599</xdr:colOff>
      <xdr:row>10</xdr:row>
      <xdr:rowOff>352425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97DE836-73A2-C576-E38C-D39FF00C52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74</xdr:col>
      <xdr:colOff>9524</xdr:colOff>
      <xdr:row>13</xdr:row>
      <xdr:rowOff>9525</xdr:rowOff>
    </xdr:from>
    <xdr:to>
      <xdr:col>82</xdr:col>
      <xdr:colOff>609599</xdr:colOff>
      <xdr:row>22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1B5208A-4A88-4DBF-8BBA-889BE1BB55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78</xdr:col>
      <xdr:colOff>0</xdr:colOff>
      <xdr:row>3</xdr:row>
      <xdr:rowOff>28575</xdr:rowOff>
    </xdr:from>
    <xdr:to>
      <xdr:col>86</xdr:col>
      <xdr:colOff>0</xdr:colOff>
      <xdr:row>11</xdr:row>
      <xdr:rowOff>9525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2D18961-C383-4BED-5722-133A79B410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23691a4021" refreshedDate="46177.672221759261" createdVersion="8" refreshedVersion="8" minRefreshableVersion="3" recordCount="20" xr:uid="{131E9F3C-622E-411A-AB64-6906DD5EBDC1}">
  <cacheSource type="worksheet">
    <worksheetSource ref="BA1:BG21" sheet="FORMATING"/>
  </cacheSource>
  <cacheFields count="7">
    <cacheField name="Cust_Name" numFmtId="0">
      <sharedItems count="20">
        <s v="Ram"/>
        <s v="Sita"/>
        <s v="Raju"/>
        <s v="Anjali"/>
        <s v="Kiran"/>
        <s v="Ayesha"/>
        <s v="Ravi"/>
        <s v="Priya"/>
        <s v="Arjun"/>
        <s v="Neha"/>
        <s v="Rohit"/>
        <s v="Meena"/>
        <s v="Varun"/>
        <s v="Kavya"/>
        <s v="Rahul"/>
        <s v="Divya"/>
        <s v="Sanjay"/>
        <s v="Pooja"/>
        <s v="Manoj"/>
        <s v="Sneha"/>
      </sharedItems>
    </cacheField>
    <cacheField name="Gender" numFmtId="0">
      <sharedItems count="2">
        <s v="Male"/>
        <s v="Female"/>
      </sharedItems>
    </cacheField>
    <cacheField name="Age" numFmtId="0">
      <sharedItems containsSemiMixedTypes="0" containsString="0" containsNumber="1" containsInteger="1" minValue="27" maxValue="50"/>
    </cacheField>
    <cacheField name="Tenure" numFmtId="0">
      <sharedItems containsSemiMixedTypes="0" containsString="0" containsNumber="1" containsInteger="1" minValue="2" maxValue="10"/>
    </cacheField>
    <cacheField name="Balance" numFmtId="0">
      <sharedItems containsSemiMixedTypes="0" containsString="0" containsNumber="1" containsInteger="1" minValue="20000" maxValue="130000"/>
    </cacheField>
    <cacheField name="Estimated_Salary" numFmtId="0">
      <sharedItems containsSemiMixedTypes="0" containsString="0" containsNumber="1" containsInteger="1" minValue="40000" maxValue="110000"/>
    </cacheField>
    <cacheField name="Location" numFmtId="0">
      <sharedItems count="7">
        <s v="Hyderabad"/>
        <s v="Mumbai"/>
        <s v="Chennai"/>
        <s v="Delhi"/>
        <s v="Bangalore"/>
        <s v="Kolkata"/>
        <s v="Pun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x v="0"/>
    <n v="35"/>
    <n v="5"/>
    <n v="50000"/>
    <n v="60000"/>
    <x v="0"/>
  </r>
  <r>
    <x v="1"/>
    <x v="1"/>
    <n v="42"/>
    <n v="7"/>
    <n v="70000"/>
    <n v="75000"/>
    <x v="1"/>
  </r>
  <r>
    <x v="2"/>
    <x v="0"/>
    <n v="29"/>
    <n v="3"/>
    <n v="30000"/>
    <n v="45000"/>
    <x v="2"/>
  </r>
  <r>
    <x v="3"/>
    <x v="1"/>
    <n v="50"/>
    <n v="9"/>
    <n v="90000"/>
    <n v="85000"/>
    <x v="3"/>
  </r>
  <r>
    <x v="4"/>
    <x v="0"/>
    <n v="31"/>
    <n v="4"/>
    <n v="40000"/>
    <n v="52000"/>
    <x v="4"/>
  </r>
  <r>
    <x v="5"/>
    <x v="1"/>
    <n v="45"/>
    <n v="8"/>
    <n v="100000"/>
    <n v="95000"/>
    <x v="5"/>
  </r>
  <r>
    <x v="6"/>
    <x v="0"/>
    <n v="27"/>
    <n v="2"/>
    <n v="20000"/>
    <n v="40000"/>
    <x v="6"/>
  </r>
  <r>
    <x v="7"/>
    <x v="1"/>
    <n v="38"/>
    <n v="6"/>
    <n v="120000"/>
    <n v="105000"/>
    <x v="0"/>
  </r>
  <r>
    <x v="8"/>
    <x v="0"/>
    <n v="33"/>
    <n v="5"/>
    <n v="55000"/>
    <n v="62000"/>
    <x v="1"/>
  </r>
  <r>
    <x v="9"/>
    <x v="1"/>
    <n v="41"/>
    <n v="7"/>
    <n v="75000"/>
    <n v="78000"/>
    <x v="2"/>
  </r>
  <r>
    <x v="10"/>
    <x v="0"/>
    <n v="30"/>
    <n v="4"/>
    <n v="35000"/>
    <n v="50000"/>
    <x v="3"/>
  </r>
  <r>
    <x v="11"/>
    <x v="1"/>
    <n v="46"/>
    <n v="9"/>
    <n v="110000"/>
    <n v="98000"/>
    <x v="4"/>
  </r>
  <r>
    <x v="12"/>
    <x v="0"/>
    <n v="28"/>
    <n v="3"/>
    <n v="25000"/>
    <n v="42000"/>
    <x v="5"/>
  </r>
  <r>
    <x v="13"/>
    <x v="1"/>
    <n v="39"/>
    <n v="6"/>
    <n v="60000"/>
    <n v="70000"/>
    <x v="6"/>
  </r>
  <r>
    <x v="14"/>
    <x v="0"/>
    <n v="44"/>
    <n v="8"/>
    <n v="85000"/>
    <n v="88000"/>
    <x v="0"/>
  </r>
  <r>
    <x v="15"/>
    <x v="1"/>
    <n v="32"/>
    <n v="5"/>
    <n v="45000"/>
    <n v="53000"/>
    <x v="1"/>
  </r>
  <r>
    <x v="16"/>
    <x v="0"/>
    <n v="36"/>
    <n v="6"/>
    <n v="65000"/>
    <n v="67000"/>
    <x v="2"/>
  </r>
  <r>
    <x v="17"/>
    <x v="1"/>
    <n v="48"/>
    <n v="10"/>
    <n v="130000"/>
    <n v="110000"/>
    <x v="3"/>
  </r>
  <r>
    <x v="18"/>
    <x v="0"/>
    <n v="34"/>
    <n v="5"/>
    <n v="48000"/>
    <n v="58000"/>
    <x v="4"/>
  </r>
  <r>
    <x v="19"/>
    <x v="1"/>
    <n v="40"/>
    <n v="7"/>
    <n v="72000"/>
    <n v="76000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AE0F5E-759B-4F21-ADC6-E00470F663C7}" name="PivotTable13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3">
  <location ref="BR14:BU28" firstHeaderRow="0" firstDataRow="1" firstDataCol="2"/>
  <pivotFields count="7">
    <pivotField compact="0" outline="0" showAll="0" defaultSubtotal="0">
      <items count="20">
        <item x="3"/>
        <item x="8"/>
        <item x="5"/>
        <item x="15"/>
        <item x="13"/>
        <item x="4"/>
        <item x="18"/>
        <item x="11"/>
        <item x="9"/>
        <item x="17"/>
        <item x="7"/>
        <item x="14"/>
        <item x="2"/>
        <item x="0"/>
        <item x="6"/>
        <item x="10"/>
        <item x="16"/>
        <item x="1"/>
        <item x="19"/>
        <item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7">
        <item x="4"/>
        <item x="2"/>
        <item x="3"/>
        <item x="0"/>
        <item x="5"/>
        <item x="1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6"/>
    <field x="1"/>
  </rowFields>
  <rowItems count="14">
    <i>
      <x/>
      <x/>
    </i>
    <i r="1">
      <x v="1"/>
    </i>
    <i>
      <x v="1"/>
      <x/>
    </i>
    <i r="1">
      <x v="1"/>
    </i>
    <i>
      <x v="2"/>
      <x/>
    </i>
    <i r="1">
      <x v="1"/>
    </i>
    <i>
      <x v="3"/>
      <x/>
    </i>
    <i r="1">
      <x v="1"/>
    </i>
    <i>
      <x v="4"/>
      <x/>
    </i>
    <i r="1">
      <x v="1"/>
    </i>
    <i>
      <x v="5"/>
      <x/>
    </i>
    <i r="1">
      <x v="1"/>
    </i>
    <i>
      <x v="6"/>
      <x/>
    </i>
    <i r="1">
      <x v="1"/>
    </i>
  </rowItems>
  <colFields count="1">
    <field x="-2"/>
  </colFields>
  <colItems count="2">
    <i>
      <x/>
    </i>
    <i i="1">
      <x v="1"/>
    </i>
  </colItems>
  <dataFields count="2">
    <dataField name="Sum of Age" fld="2" baseField="0" baseItem="0"/>
    <dataField name="Sum of Tenure" fld="3" baseField="0" baseItem="0"/>
  </dataFields>
  <chartFormats count="2">
    <chartFormat chart="2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64952E-EB91-4EA4-B919-7FA6A2E724F5}" name="Table1" displayName="Table1" ref="AJ1:AU21" totalsRowShown="0" headerRowDxfId="34" dataDxfId="32" headerRowBorderDxfId="33" tableBorderDxfId="31" totalsRowBorderDxfId="30">
  <autoFilter ref="AJ1:AU21" xr:uid="{7664952E-EB91-4EA4-B919-7FA6A2E724F5}"/>
  <sortState xmlns:xlrd2="http://schemas.microsoft.com/office/spreadsheetml/2017/richdata2" ref="AJ2:AU21">
    <sortCondition ref="AJ1:AJ21"/>
  </sortState>
  <tableColumns count="12">
    <tableColumn id="1" xr3:uid="{2724955C-014C-4CFA-ABAB-A172EA77DA17}" name="CustomerID" dataDxfId="29"/>
    <tableColumn id="2" xr3:uid="{0B0F137F-4916-44E0-8138-0287461DC843}" name="Surname" dataDxfId="28"/>
    <tableColumn id="3" xr3:uid="{1711669D-D723-4B42-AA13-CFB9DD63E941}" name="CreditScore" dataDxfId="27"/>
    <tableColumn id="4" xr3:uid="{1910108A-5EFF-4592-B7F0-DD373335622C}" name="Gender" dataDxfId="26"/>
    <tableColumn id="5" xr3:uid="{FF86498B-4203-4059-BE39-7587A5248209}" name="Age" dataDxfId="25"/>
    <tableColumn id="6" xr3:uid="{BF8314B2-41CA-43A5-BF6A-A00DA240C48E}" name="Tenure" dataDxfId="24"/>
    <tableColumn id="7" xr3:uid="{B03FECF7-348A-4445-994D-70F43390C3C6}" name="Balance" dataDxfId="23"/>
    <tableColumn id="8" xr3:uid="{F1869DB0-9A95-423B-B9FB-D51C5CE97C1B}" name="NumOfProducts" dataDxfId="22"/>
    <tableColumn id="9" xr3:uid="{BD1456C6-328D-46A0-ABCB-DD3C74228E73}" name="HasCrCard" dataDxfId="21"/>
    <tableColumn id="10" xr3:uid="{AC2CB756-43F1-4464-9E80-4316DC2C43D0}" name="IsActiveMember" dataDxfId="20"/>
    <tableColumn id="11" xr3:uid="{59C46490-9DDA-4BE0-AEF9-796483F20E34}" name="EstimatedSalary" dataDxfId="19"/>
    <tableColumn id="12" xr3:uid="{4050D3CC-C283-46A1-8CA8-E04CFD48D7C3}" name="Exited" dataDxfId="18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E18A3D7-987E-4401-9237-D71FA2F3DD5D}" name="Table2" displayName="Table2" ref="BA1:BG21" totalsRowShown="0" headerRowDxfId="17" dataDxfId="15" headerRowBorderDxfId="16" tableBorderDxfId="14" totalsRowBorderDxfId="13">
  <autoFilter ref="BA1:BG21" xr:uid="{5E18A3D7-987E-4401-9237-D71FA2F3DD5D}"/>
  <sortState xmlns:xlrd2="http://schemas.microsoft.com/office/spreadsheetml/2017/richdata2" ref="BA2:BG21">
    <sortCondition ref="BA1:BA21"/>
  </sortState>
  <tableColumns count="7">
    <tableColumn id="1" xr3:uid="{E6B93538-F2AB-40A9-82E3-4EB203E4A79C}" name="Cust_Name" dataDxfId="12"/>
    <tableColumn id="2" xr3:uid="{E9D8BCA9-4EFA-471D-A009-6B6E8C30D474}" name="Gender" dataDxfId="11"/>
    <tableColumn id="3" xr3:uid="{CA7F293C-C01C-443E-8DD1-B7621E520BB5}" name="Age" dataDxfId="10"/>
    <tableColumn id="4" xr3:uid="{D790CE93-2CAC-4DD0-9777-CF3F810859E6}" name="Tenure" dataDxfId="9"/>
    <tableColumn id="5" xr3:uid="{20722C46-723B-4D33-8431-E0A26602EC92}" name="Balance" dataDxfId="8"/>
    <tableColumn id="6" xr3:uid="{FB7D03AC-2C3E-4216-88F9-DE6FAAFCFCFA}" name="Estimated_Salary" dataDxfId="7"/>
    <tableColumn id="7" xr3:uid="{1D9E190B-9C28-48DC-B1DC-54E3BDE7BF91}" name="Location" dataDxfId="6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5" Type="http://schemas.openxmlformats.org/officeDocument/2006/relationships/table" Target="../tables/table2.xm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7CC78-913D-4A94-BEA7-CFE089BA6C9D}">
  <dimension ref="A1:CK28"/>
  <sheetViews>
    <sheetView tabSelected="1" topLeftCell="BG1" workbookViewId="0">
      <pane ySplit="1" topLeftCell="A2" activePane="bottomLeft" state="frozen"/>
      <selection activeCell="D25" sqref="D25"/>
      <selection pane="bottomLeft" activeCell="D25" sqref="D25"/>
    </sheetView>
  </sheetViews>
  <sheetFormatPr defaultRowHeight="15" x14ac:dyDescent="0.25"/>
  <cols>
    <col min="1" max="7" width="17.85546875" customWidth="1"/>
    <col min="8" max="8" width="16.28515625" customWidth="1"/>
    <col min="9" max="9" width="16.140625" customWidth="1"/>
    <col min="10" max="10" width="15.7109375" customWidth="1"/>
    <col min="11" max="11" width="14" customWidth="1"/>
    <col min="14" max="25" width="17.85546875" customWidth="1"/>
    <col min="36" max="42" width="17.140625" customWidth="1"/>
    <col min="43" max="43" width="17.28515625" customWidth="1"/>
    <col min="44" max="44" width="17.140625" customWidth="1"/>
    <col min="45" max="45" width="17.85546875" customWidth="1"/>
    <col min="46" max="46" width="17.28515625" customWidth="1"/>
    <col min="47" max="47" width="17.140625" customWidth="1"/>
    <col min="53" max="57" width="16.5703125" style="56" customWidth="1"/>
    <col min="58" max="58" width="18.28515625" style="56" customWidth="1"/>
    <col min="59" max="59" width="16.5703125" style="56" customWidth="1"/>
    <col min="70" max="70" width="15.28515625" customWidth="1"/>
    <col min="71" max="71" width="10" bestFit="1" customWidth="1"/>
    <col min="72" max="72" width="11" bestFit="1" customWidth="1"/>
    <col min="73" max="73" width="14" bestFit="1" customWidth="1"/>
  </cols>
  <sheetData>
    <row r="1" spans="1:89" ht="26.2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26</v>
      </c>
      <c r="N1" s="23" t="s">
        <v>27</v>
      </c>
      <c r="O1" s="23" t="s">
        <v>28</v>
      </c>
      <c r="P1" s="23" t="s">
        <v>29</v>
      </c>
      <c r="Q1" s="23" t="s">
        <v>30</v>
      </c>
      <c r="R1" s="23" t="s">
        <v>31</v>
      </c>
      <c r="S1" s="23" t="s">
        <v>32</v>
      </c>
      <c r="T1" s="23" t="s">
        <v>33</v>
      </c>
      <c r="U1" s="23" t="s">
        <v>34</v>
      </c>
      <c r="V1" s="23" t="s">
        <v>35</v>
      </c>
      <c r="W1" s="23" t="s">
        <v>36</v>
      </c>
      <c r="X1" s="23" t="s">
        <v>37</v>
      </c>
      <c r="Y1" s="23" t="s">
        <v>38</v>
      </c>
      <c r="AJ1" s="50" t="s">
        <v>27</v>
      </c>
      <c r="AK1" s="51" t="s">
        <v>28</v>
      </c>
      <c r="AL1" s="51" t="s">
        <v>29</v>
      </c>
      <c r="AM1" s="51" t="s">
        <v>30</v>
      </c>
      <c r="AN1" s="51" t="s">
        <v>31</v>
      </c>
      <c r="AO1" s="51" t="s">
        <v>32</v>
      </c>
      <c r="AP1" s="51" t="s">
        <v>33</v>
      </c>
      <c r="AQ1" s="51" t="s">
        <v>34</v>
      </c>
      <c r="AR1" s="51" t="s">
        <v>35</v>
      </c>
      <c r="AS1" s="51" t="s">
        <v>36</v>
      </c>
      <c r="AT1" s="51" t="s">
        <v>37</v>
      </c>
      <c r="AU1" s="52" t="s">
        <v>38</v>
      </c>
      <c r="AZ1" t="s">
        <v>124</v>
      </c>
      <c r="BA1" s="61" t="s">
        <v>92</v>
      </c>
      <c r="BB1" s="62" t="s">
        <v>30</v>
      </c>
      <c r="BC1" s="62" t="s">
        <v>31</v>
      </c>
      <c r="BD1" s="62" t="s">
        <v>32</v>
      </c>
      <c r="BE1" s="62" t="s">
        <v>33</v>
      </c>
      <c r="BF1" s="62" t="s">
        <v>93</v>
      </c>
      <c r="BG1" s="63" t="s">
        <v>94</v>
      </c>
    </row>
    <row r="2" spans="1:89" ht="24" customHeight="1" x14ac:dyDescent="0.35">
      <c r="A2" s="7">
        <v>1</v>
      </c>
      <c r="B2" s="6" t="s">
        <v>6</v>
      </c>
      <c r="C2" s="8">
        <v>75</v>
      </c>
      <c r="D2" s="3">
        <v>52</v>
      </c>
      <c r="E2" s="9">
        <v>98</v>
      </c>
      <c r="F2" s="10">
        <v>65</v>
      </c>
      <c r="G2" s="22">
        <v>45</v>
      </c>
      <c r="N2" s="24">
        <v>1001</v>
      </c>
      <c r="O2" s="24" t="s">
        <v>39</v>
      </c>
      <c r="P2" s="26">
        <v>-650</v>
      </c>
      <c r="Q2" s="24" t="s">
        <v>40</v>
      </c>
      <c r="R2" s="24">
        <v>35</v>
      </c>
      <c r="S2" s="24">
        <v>5</v>
      </c>
      <c r="T2" s="28">
        <v>50000</v>
      </c>
      <c r="U2" s="24">
        <v>2</v>
      </c>
      <c r="V2" s="44">
        <v>1</v>
      </c>
      <c r="W2" s="24">
        <v>1</v>
      </c>
      <c r="X2" s="30">
        <v>60000</v>
      </c>
      <c r="Y2" s="24">
        <v>0</v>
      </c>
      <c r="AJ2" s="48" t="s">
        <v>69</v>
      </c>
      <c r="AK2" s="47" t="s">
        <v>41</v>
      </c>
      <c r="AL2" s="47">
        <v>650</v>
      </c>
      <c r="AM2" s="47" t="s">
        <v>42</v>
      </c>
      <c r="AN2" s="47">
        <v>35</v>
      </c>
      <c r="AO2" s="47">
        <v>5</v>
      </c>
      <c r="AP2" s="47">
        <v>50000</v>
      </c>
      <c r="AQ2" s="47">
        <v>2</v>
      </c>
      <c r="AR2" s="47">
        <v>1</v>
      </c>
      <c r="AS2" s="47">
        <v>1</v>
      </c>
      <c r="AT2" s="47">
        <v>60000</v>
      </c>
      <c r="AU2" s="49">
        <v>0</v>
      </c>
      <c r="AZ2" t="s">
        <v>125</v>
      </c>
      <c r="BA2" s="59" t="s">
        <v>101</v>
      </c>
      <c r="BB2" s="57" t="s">
        <v>42</v>
      </c>
      <c r="BC2" s="57">
        <v>50</v>
      </c>
      <c r="BD2" s="57">
        <v>9</v>
      </c>
      <c r="BE2" s="57">
        <v>90000</v>
      </c>
      <c r="BF2" s="57">
        <v>85000</v>
      </c>
      <c r="BG2" s="60" t="s">
        <v>102</v>
      </c>
    </row>
    <row r="3" spans="1:89" ht="29.25" customHeight="1" x14ac:dyDescent="0.45">
      <c r="A3" s="7">
        <v>2</v>
      </c>
      <c r="B3" s="6" t="s">
        <v>7</v>
      </c>
      <c r="C3" s="8">
        <v>98</v>
      </c>
      <c r="D3" s="4">
        <v>63</v>
      </c>
      <c r="E3" s="9">
        <v>89</v>
      </c>
      <c r="F3" s="10">
        <v>86</v>
      </c>
      <c r="G3" s="22">
        <v>56</v>
      </c>
      <c r="I3" s="21" t="s">
        <v>24</v>
      </c>
      <c r="J3" s="21" t="s">
        <v>25</v>
      </c>
      <c r="K3" s="11"/>
      <c r="N3" s="25">
        <v>1002</v>
      </c>
      <c r="O3" s="25" t="s">
        <v>41</v>
      </c>
      <c r="P3" s="27">
        <v>720</v>
      </c>
      <c r="Q3" s="25" t="s">
        <v>42</v>
      </c>
      <c r="R3" s="25">
        <v>42</v>
      </c>
      <c r="S3" s="25">
        <v>7</v>
      </c>
      <c r="T3" s="29">
        <v>70000</v>
      </c>
      <c r="U3" s="25">
        <v>1</v>
      </c>
      <c r="V3" s="45">
        <v>1</v>
      </c>
      <c r="W3" s="25">
        <v>0</v>
      </c>
      <c r="X3" s="31">
        <v>75000</v>
      </c>
      <c r="Y3" s="25">
        <v>1</v>
      </c>
      <c r="AJ3" s="48" t="s">
        <v>70</v>
      </c>
      <c r="AK3" s="47" t="s">
        <v>43</v>
      </c>
      <c r="AL3" s="47">
        <v>720</v>
      </c>
      <c r="AM3" s="47" t="s">
        <v>40</v>
      </c>
      <c r="AN3" s="47">
        <v>42</v>
      </c>
      <c r="AO3" s="47">
        <v>8</v>
      </c>
      <c r="AP3" s="47">
        <v>120000</v>
      </c>
      <c r="AQ3" s="47">
        <v>1</v>
      </c>
      <c r="AR3" s="47">
        <v>1</v>
      </c>
      <c r="AS3" s="47">
        <v>0</v>
      </c>
      <c r="AT3" s="47">
        <v>85000</v>
      </c>
      <c r="AU3" s="49">
        <v>1</v>
      </c>
      <c r="AZ3" s="67">
        <v>44105</v>
      </c>
      <c r="BA3" s="59" t="s">
        <v>110</v>
      </c>
      <c r="BB3" s="57" t="s">
        <v>40</v>
      </c>
      <c r="BC3" s="57">
        <v>33</v>
      </c>
      <c r="BD3" s="57">
        <v>5</v>
      </c>
      <c r="BE3" s="57">
        <v>55000</v>
      </c>
      <c r="BF3" s="57">
        <v>62000</v>
      </c>
      <c r="BG3" s="60" t="s">
        <v>98</v>
      </c>
    </row>
    <row r="4" spans="1:89" ht="29.25" customHeight="1" x14ac:dyDescent="0.35">
      <c r="A4" s="7">
        <v>3</v>
      </c>
      <c r="B4" s="6" t="s">
        <v>8</v>
      </c>
      <c r="C4" s="8">
        <v>121</v>
      </c>
      <c r="D4" s="4">
        <v>74</v>
      </c>
      <c r="E4" s="9">
        <v>80</v>
      </c>
      <c r="F4" s="10">
        <v>107</v>
      </c>
      <c r="G4" s="22">
        <v>67</v>
      </c>
      <c r="I4" s="12">
        <f ca="1">TODAY()</f>
        <v>46179</v>
      </c>
      <c r="J4" s="13">
        <v>0.4465277777777778</v>
      </c>
      <c r="K4" s="14">
        <v>0.4465277777777778</v>
      </c>
      <c r="N4" s="24">
        <v>1003</v>
      </c>
      <c r="O4" s="24" t="s">
        <v>43</v>
      </c>
      <c r="P4" s="26">
        <v>580</v>
      </c>
      <c r="Q4" s="24" t="s">
        <v>40</v>
      </c>
      <c r="R4" s="24">
        <v>29</v>
      </c>
      <c r="S4" s="24">
        <v>3</v>
      </c>
      <c r="T4" s="28">
        <v>30000</v>
      </c>
      <c r="U4" s="24">
        <v>2</v>
      </c>
      <c r="V4" s="44">
        <v>0</v>
      </c>
      <c r="W4" s="24">
        <v>1</v>
      </c>
      <c r="X4" s="30">
        <v>45000</v>
      </c>
      <c r="Y4" s="24">
        <v>0</v>
      </c>
      <c r="AJ4" s="48" t="s">
        <v>71</v>
      </c>
      <c r="AK4" s="47" t="s">
        <v>44</v>
      </c>
      <c r="AL4" s="47">
        <v>580</v>
      </c>
      <c r="AM4" s="47" t="s">
        <v>42</v>
      </c>
      <c r="AN4" s="47">
        <v>29</v>
      </c>
      <c r="AO4" s="47">
        <v>2</v>
      </c>
      <c r="AP4" s="47">
        <v>30000</v>
      </c>
      <c r="AQ4" s="47">
        <v>2</v>
      </c>
      <c r="AR4" s="47">
        <v>0</v>
      </c>
      <c r="AS4" s="47">
        <v>1</v>
      </c>
      <c r="AT4" s="47">
        <v>45000</v>
      </c>
      <c r="AU4" s="49">
        <v>0</v>
      </c>
      <c r="BA4" s="59" t="s">
        <v>105</v>
      </c>
      <c r="BB4" s="57" t="s">
        <v>42</v>
      </c>
      <c r="BC4" s="57">
        <v>45</v>
      </c>
      <c r="BD4" s="57">
        <v>8</v>
      </c>
      <c r="BE4" s="57">
        <v>100000</v>
      </c>
      <c r="BF4" s="57">
        <v>95000</v>
      </c>
      <c r="BG4" s="60" t="s">
        <v>106</v>
      </c>
      <c r="CJ4">
        <v>0</v>
      </c>
      <c r="CK4" t="str">
        <f>CJ4&amp;"-"&amp;CJ5</f>
        <v>0-10</v>
      </c>
    </row>
    <row r="5" spans="1:89" ht="29.25" customHeight="1" x14ac:dyDescent="0.35">
      <c r="A5" s="7">
        <v>4</v>
      </c>
      <c r="B5" s="6" t="s">
        <v>9</v>
      </c>
      <c r="C5" s="8">
        <v>144</v>
      </c>
      <c r="D5" s="4">
        <v>85</v>
      </c>
      <c r="E5" s="9">
        <v>71</v>
      </c>
      <c r="F5" s="10">
        <v>128</v>
      </c>
      <c r="G5" s="22">
        <v>78</v>
      </c>
      <c r="I5" s="15">
        <f t="shared" ref="I5:I7" ca="1" si="0">TODAY()</f>
        <v>46179</v>
      </c>
      <c r="J5" s="13">
        <v>0.48819444444444399</v>
      </c>
      <c r="K5" s="16">
        <v>0.48819444444444443</v>
      </c>
      <c r="N5" s="25">
        <v>1004</v>
      </c>
      <c r="O5" s="25" t="s">
        <v>44</v>
      </c>
      <c r="P5" s="27">
        <v>690</v>
      </c>
      <c r="Q5" s="25" t="s">
        <v>42</v>
      </c>
      <c r="R5" s="25">
        <v>50</v>
      </c>
      <c r="S5" s="25">
        <v>9</v>
      </c>
      <c r="T5" s="29">
        <v>90000</v>
      </c>
      <c r="U5" s="25">
        <v>3</v>
      </c>
      <c r="V5" s="45">
        <v>1</v>
      </c>
      <c r="W5" s="25">
        <v>1</v>
      </c>
      <c r="X5" s="31">
        <v>-85000</v>
      </c>
      <c r="Y5" s="25">
        <v>1</v>
      </c>
      <c r="AA5" s="46" t="s">
        <v>61</v>
      </c>
      <c r="AB5" s="46">
        <v>0</v>
      </c>
      <c r="AC5" s="46" t="s">
        <v>62</v>
      </c>
      <c r="AD5" s="46" t="s">
        <v>65</v>
      </c>
      <c r="AE5" s="46" t="s">
        <v>63</v>
      </c>
      <c r="AF5" s="46" t="s">
        <v>64</v>
      </c>
      <c r="AG5" s="46" t="s">
        <v>66</v>
      </c>
      <c r="AJ5" s="48" t="s">
        <v>72</v>
      </c>
      <c r="AK5" s="47" t="s">
        <v>39</v>
      </c>
      <c r="AL5" s="47">
        <v>690</v>
      </c>
      <c r="AM5" s="47" t="s">
        <v>40</v>
      </c>
      <c r="AN5" s="47">
        <v>50</v>
      </c>
      <c r="AO5" s="47">
        <v>10</v>
      </c>
      <c r="AP5" s="47">
        <v>150000</v>
      </c>
      <c r="AQ5" s="47">
        <v>1</v>
      </c>
      <c r="AR5" s="47">
        <v>1</v>
      </c>
      <c r="AS5" s="47">
        <v>0</v>
      </c>
      <c r="AT5" s="47">
        <v>95000</v>
      </c>
      <c r="AU5" s="49">
        <v>1</v>
      </c>
      <c r="BA5" s="59" t="s">
        <v>117</v>
      </c>
      <c r="BB5" s="57" t="s">
        <v>42</v>
      </c>
      <c r="BC5" s="57">
        <v>32</v>
      </c>
      <c r="BD5" s="57">
        <v>5</v>
      </c>
      <c r="BE5" s="57">
        <v>45000</v>
      </c>
      <c r="BF5" s="57">
        <v>53000</v>
      </c>
      <c r="BG5" s="60" t="s">
        <v>98</v>
      </c>
      <c r="CJ5" s="67" t="s">
        <v>126</v>
      </c>
      <c r="CK5" t="str">
        <f t="shared" ref="CK5:CK13" si="1">CJ5&amp;"-"&amp;CJ6</f>
        <v>10-20</v>
      </c>
    </row>
    <row r="6" spans="1:89" ht="29.25" customHeight="1" x14ac:dyDescent="0.35">
      <c r="A6" s="7">
        <v>5</v>
      </c>
      <c r="B6" s="6" t="s">
        <v>10</v>
      </c>
      <c r="C6" s="8">
        <v>167</v>
      </c>
      <c r="D6" s="4">
        <v>96</v>
      </c>
      <c r="E6" s="9">
        <v>62</v>
      </c>
      <c r="F6" s="10">
        <v>149</v>
      </c>
      <c r="G6" s="22">
        <v>89</v>
      </c>
      <c r="I6" s="17">
        <f t="shared" ca="1" si="0"/>
        <v>46179</v>
      </c>
      <c r="J6" s="13">
        <v>0.52986111111111101</v>
      </c>
      <c r="K6" s="18">
        <v>0.52986111111111101</v>
      </c>
      <c r="N6" s="24">
        <v>1005</v>
      </c>
      <c r="O6" s="24" t="s">
        <v>45</v>
      </c>
      <c r="P6" s="26">
        <v>610</v>
      </c>
      <c r="Q6" s="24" t="s">
        <v>40</v>
      </c>
      <c r="R6" s="24">
        <v>31</v>
      </c>
      <c r="S6" s="24">
        <v>4</v>
      </c>
      <c r="T6" s="28">
        <v>40000</v>
      </c>
      <c r="U6" s="24">
        <v>2</v>
      </c>
      <c r="V6" s="44">
        <v>1</v>
      </c>
      <c r="W6" s="24">
        <v>0</v>
      </c>
      <c r="X6" s="30">
        <v>52000</v>
      </c>
      <c r="Y6" s="24">
        <v>0</v>
      </c>
      <c r="AA6" s="24">
        <v>0.5</v>
      </c>
      <c r="AB6" s="32">
        <v>0.5</v>
      </c>
      <c r="AC6" s="34">
        <v>0.5</v>
      </c>
      <c r="AD6" s="36">
        <v>0.5</v>
      </c>
      <c r="AE6" s="38">
        <v>0.5</v>
      </c>
      <c r="AF6" s="40">
        <v>0.5</v>
      </c>
      <c r="AG6" s="42">
        <v>0.5</v>
      </c>
      <c r="AJ6" s="48" t="s">
        <v>73</v>
      </c>
      <c r="AK6" s="47" t="s">
        <v>45</v>
      </c>
      <c r="AL6" s="47">
        <v>610</v>
      </c>
      <c r="AM6" s="47" t="s">
        <v>42</v>
      </c>
      <c r="AN6" s="47">
        <v>38</v>
      </c>
      <c r="AO6" s="47">
        <v>4</v>
      </c>
      <c r="AP6" s="47">
        <v>70000</v>
      </c>
      <c r="AQ6" s="47">
        <v>3</v>
      </c>
      <c r="AR6" s="47">
        <v>1</v>
      </c>
      <c r="AS6" s="47">
        <v>1</v>
      </c>
      <c r="AT6" s="47">
        <v>72000</v>
      </c>
      <c r="AU6" s="49">
        <v>0</v>
      </c>
      <c r="AW6">
        <v>75000</v>
      </c>
      <c r="BA6" s="59" t="s">
        <v>115</v>
      </c>
      <c r="BB6" s="57" t="s">
        <v>42</v>
      </c>
      <c r="BC6" s="57">
        <v>39</v>
      </c>
      <c r="BD6" s="57">
        <v>6</v>
      </c>
      <c r="BE6" s="57">
        <v>60000</v>
      </c>
      <c r="BF6" s="57">
        <v>70000</v>
      </c>
      <c r="BG6" s="60" t="s">
        <v>108</v>
      </c>
      <c r="CJ6" s="67" t="s">
        <v>127</v>
      </c>
      <c r="CK6" t="str">
        <f t="shared" si="1"/>
        <v>20-30</v>
      </c>
    </row>
    <row r="7" spans="1:89" ht="29.25" customHeight="1" x14ac:dyDescent="0.35">
      <c r="A7" s="7">
        <v>6</v>
      </c>
      <c r="B7" s="6" t="s">
        <v>11</v>
      </c>
      <c r="C7" s="8">
        <v>190</v>
      </c>
      <c r="D7" s="4">
        <v>107</v>
      </c>
      <c r="E7" s="9">
        <v>53</v>
      </c>
      <c r="F7" s="10">
        <v>170</v>
      </c>
      <c r="G7" s="22">
        <v>100</v>
      </c>
      <c r="I7" s="19">
        <f t="shared" ca="1" si="0"/>
        <v>46179</v>
      </c>
      <c r="J7" s="13">
        <v>0.57152777777777797</v>
      </c>
      <c r="K7" s="20">
        <v>0.57152777777777797</v>
      </c>
      <c r="N7" s="25">
        <v>1006</v>
      </c>
      <c r="O7" s="25" t="s">
        <v>46</v>
      </c>
      <c r="P7" s="27">
        <v>730</v>
      </c>
      <c r="Q7" s="25" t="s">
        <v>42</v>
      </c>
      <c r="R7" s="25">
        <v>45</v>
      </c>
      <c r="S7" s="25">
        <v>8</v>
      </c>
      <c r="T7" s="29">
        <v>100000</v>
      </c>
      <c r="U7" s="25">
        <v>1</v>
      </c>
      <c r="V7" s="45">
        <v>-1</v>
      </c>
      <c r="W7" s="25">
        <v>1</v>
      </c>
      <c r="X7" s="31">
        <v>95000</v>
      </c>
      <c r="Y7" s="25">
        <v>1</v>
      </c>
      <c r="AA7" s="25">
        <v>0.55000000000000004</v>
      </c>
      <c r="AB7" s="33">
        <v>0.55000000000000004</v>
      </c>
      <c r="AC7" s="35">
        <v>0.55000000000000004</v>
      </c>
      <c r="AD7" s="37">
        <v>0.55000000000000004</v>
      </c>
      <c r="AE7" s="39">
        <v>0.55000000000000004</v>
      </c>
      <c r="AF7" s="41">
        <v>0.55000000000000004</v>
      </c>
      <c r="AG7" s="43">
        <v>0.55000000000000004</v>
      </c>
      <c r="AJ7" s="48" t="s">
        <v>74</v>
      </c>
      <c r="AK7" s="47" t="s">
        <v>50</v>
      </c>
      <c r="AL7" s="47">
        <v>750</v>
      </c>
      <c r="AM7" s="47" t="s">
        <v>40</v>
      </c>
      <c r="AN7" s="47">
        <v>45</v>
      </c>
      <c r="AO7" s="47">
        <v>7</v>
      </c>
      <c r="AP7" s="47">
        <v>180000</v>
      </c>
      <c r="AQ7" s="47">
        <v>2</v>
      </c>
      <c r="AR7" s="47">
        <v>1</v>
      </c>
      <c r="AS7" s="47">
        <v>1</v>
      </c>
      <c r="AT7" s="47">
        <v>105000</v>
      </c>
      <c r="AU7" s="49">
        <v>0</v>
      </c>
      <c r="BA7" s="59" t="s">
        <v>103</v>
      </c>
      <c r="BB7" s="57" t="s">
        <v>40</v>
      </c>
      <c r="BC7" s="57">
        <v>31</v>
      </c>
      <c r="BD7" s="57">
        <v>4</v>
      </c>
      <c r="BE7" s="57">
        <v>40000</v>
      </c>
      <c r="BF7" s="57">
        <v>52000</v>
      </c>
      <c r="BG7" s="60" t="s">
        <v>104</v>
      </c>
      <c r="CJ7" s="67" t="s">
        <v>128</v>
      </c>
      <c r="CK7" t="str">
        <f t="shared" si="1"/>
        <v>30-40</v>
      </c>
    </row>
    <row r="8" spans="1:89" ht="29.25" customHeight="1" x14ac:dyDescent="0.35">
      <c r="A8" s="7">
        <v>7</v>
      </c>
      <c r="B8" s="6" t="s">
        <v>12</v>
      </c>
      <c r="C8" s="8">
        <v>213</v>
      </c>
      <c r="D8" s="4">
        <v>118</v>
      </c>
      <c r="E8" s="9">
        <v>44</v>
      </c>
      <c r="F8" s="10">
        <v>191</v>
      </c>
      <c r="G8" s="22">
        <v>111</v>
      </c>
      <c r="N8" s="24">
        <v>1007</v>
      </c>
      <c r="O8" s="24" t="s">
        <v>47</v>
      </c>
      <c r="P8" s="26">
        <v>-540</v>
      </c>
      <c r="Q8" s="24" t="s">
        <v>40</v>
      </c>
      <c r="R8" s="24">
        <v>27</v>
      </c>
      <c r="S8" s="24">
        <v>2</v>
      </c>
      <c r="T8" s="28">
        <v>0</v>
      </c>
      <c r="U8" s="24">
        <v>2</v>
      </c>
      <c r="V8" s="44">
        <v>0</v>
      </c>
      <c r="W8" s="24">
        <v>0</v>
      </c>
      <c r="X8" s="30">
        <v>40000</v>
      </c>
      <c r="Y8" s="24">
        <v>0</v>
      </c>
      <c r="AA8" s="24">
        <v>500</v>
      </c>
      <c r="AB8" s="32">
        <v>500</v>
      </c>
      <c r="AC8" s="34">
        <v>500</v>
      </c>
      <c r="AD8" s="36">
        <v>500</v>
      </c>
      <c r="AE8" s="38">
        <v>500</v>
      </c>
      <c r="AF8" s="40">
        <v>500</v>
      </c>
      <c r="AG8" s="42">
        <v>500</v>
      </c>
      <c r="AJ8" s="48" t="s">
        <v>75</v>
      </c>
      <c r="AK8" s="47" t="s">
        <v>76</v>
      </c>
      <c r="AL8" s="47">
        <v>540</v>
      </c>
      <c r="AM8" s="47" t="s">
        <v>42</v>
      </c>
      <c r="AN8" s="47">
        <v>56</v>
      </c>
      <c r="AO8" s="47">
        <v>1</v>
      </c>
      <c r="AP8" s="47">
        <v>20000</v>
      </c>
      <c r="AQ8" s="47">
        <v>1</v>
      </c>
      <c r="AR8" s="47">
        <v>0</v>
      </c>
      <c r="AS8" s="47">
        <v>0</v>
      </c>
      <c r="AT8" s="47">
        <v>38000</v>
      </c>
      <c r="AU8" s="49">
        <v>1</v>
      </c>
      <c r="BA8" s="59" t="s">
        <v>120</v>
      </c>
      <c r="BB8" s="57" t="s">
        <v>40</v>
      </c>
      <c r="BC8" s="57">
        <v>34</v>
      </c>
      <c r="BD8" s="57">
        <v>5</v>
      </c>
      <c r="BE8" s="57">
        <v>48000</v>
      </c>
      <c r="BF8" s="57">
        <v>58000</v>
      </c>
      <c r="BG8" s="60" t="s">
        <v>104</v>
      </c>
      <c r="CJ8">
        <v>40</v>
      </c>
      <c r="CK8" t="str">
        <f t="shared" si="1"/>
        <v>40-50</v>
      </c>
    </row>
    <row r="9" spans="1:89" ht="29.25" customHeight="1" x14ac:dyDescent="0.35">
      <c r="A9" s="7">
        <v>8</v>
      </c>
      <c r="B9" s="6" t="s">
        <v>13</v>
      </c>
      <c r="C9" s="8">
        <v>236</v>
      </c>
      <c r="D9" s="4">
        <v>129</v>
      </c>
      <c r="E9" s="9">
        <v>35</v>
      </c>
      <c r="F9" s="10">
        <v>212</v>
      </c>
      <c r="G9" s="22">
        <v>122</v>
      </c>
      <c r="N9" s="25">
        <v>1008</v>
      </c>
      <c r="O9" s="25" t="s">
        <v>48</v>
      </c>
      <c r="P9" s="27">
        <v>800</v>
      </c>
      <c r="Q9" s="25" t="s">
        <v>42</v>
      </c>
      <c r="R9" s="25">
        <v>38</v>
      </c>
      <c r="S9" s="25">
        <v>6</v>
      </c>
      <c r="T9" s="29">
        <v>120000</v>
      </c>
      <c r="U9" s="25">
        <v>3</v>
      </c>
      <c r="V9" s="45">
        <v>1</v>
      </c>
      <c r="W9" s="25">
        <v>1</v>
      </c>
      <c r="X9" s="31">
        <v>105000</v>
      </c>
      <c r="Y9" s="25">
        <v>1</v>
      </c>
      <c r="AA9" s="25">
        <v>5486</v>
      </c>
      <c r="AB9" s="33">
        <v>5486</v>
      </c>
      <c r="AC9" s="35">
        <v>5486</v>
      </c>
      <c r="AD9" s="37">
        <v>5486</v>
      </c>
      <c r="AE9" s="39">
        <v>5486</v>
      </c>
      <c r="AF9" s="41">
        <v>5486</v>
      </c>
      <c r="AG9" s="43">
        <v>5486</v>
      </c>
      <c r="AJ9" s="48" t="s">
        <v>77</v>
      </c>
      <c r="AK9" s="47" t="s">
        <v>49</v>
      </c>
      <c r="AL9" s="47">
        <v>680</v>
      </c>
      <c r="AM9" s="47" t="s">
        <v>40</v>
      </c>
      <c r="AN9" s="47">
        <v>31</v>
      </c>
      <c r="AO9" s="47">
        <v>6</v>
      </c>
      <c r="AP9" s="47">
        <v>90000</v>
      </c>
      <c r="AQ9" s="47">
        <v>2</v>
      </c>
      <c r="AR9" s="47">
        <v>1</v>
      </c>
      <c r="AS9" s="47">
        <v>1</v>
      </c>
      <c r="AT9" s="47">
        <v>68000</v>
      </c>
      <c r="AU9" s="49">
        <v>0</v>
      </c>
      <c r="BA9" s="59" t="s">
        <v>113</v>
      </c>
      <c r="BB9" s="57" t="s">
        <v>42</v>
      </c>
      <c r="BC9" s="57">
        <v>46</v>
      </c>
      <c r="BD9" s="57">
        <v>9</v>
      </c>
      <c r="BE9" s="57">
        <v>110000</v>
      </c>
      <c r="BF9" s="57">
        <v>98000</v>
      </c>
      <c r="BG9" s="60" t="s">
        <v>104</v>
      </c>
      <c r="CJ9">
        <v>50</v>
      </c>
      <c r="CK9" t="str">
        <f t="shared" si="1"/>
        <v>50-60</v>
      </c>
    </row>
    <row r="10" spans="1:89" ht="29.25" customHeight="1" x14ac:dyDescent="0.35">
      <c r="A10" s="7">
        <v>9</v>
      </c>
      <c r="B10" s="6" t="s">
        <v>14</v>
      </c>
      <c r="C10" s="8">
        <v>259</v>
      </c>
      <c r="D10" s="4">
        <v>140</v>
      </c>
      <c r="E10" s="9">
        <v>86</v>
      </c>
      <c r="F10" s="10">
        <v>233</v>
      </c>
      <c r="G10" s="22">
        <v>133</v>
      </c>
      <c r="N10" s="24">
        <v>1009</v>
      </c>
      <c r="O10" s="24" t="s">
        <v>49</v>
      </c>
      <c r="P10" s="26">
        <v>670</v>
      </c>
      <c r="Q10" s="24" t="s">
        <v>40</v>
      </c>
      <c r="R10" s="24">
        <v>33</v>
      </c>
      <c r="S10" s="24">
        <v>5</v>
      </c>
      <c r="T10" s="28">
        <v>55000</v>
      </c>
      <c r="U10" s="24">
        <v>2</v>
      </c>
      <c r="V10" s="44">
        <v>1</v>
      </c>
      <c r="W10" s="24">
        <v>1</v>
      </c>
      <c r="X10" s="30">
        <v>62000</v>
      </c>
      <c r="Y10" s="24">
        <v>0</v>
      </c>
      <c r="AA10" s="24">
        <v>468</v>
      </c>
      <c r="AB10" s="32">
        <v>468</v>
      </c>
      <c r="AC10" s="34">
        <v>468</v>
      </c>
      <c r="AD10" s="36">
        <v>468</v>
      </c>
      <c r="AE10" s="38">
        <v>468</v>
      </c>
      <c r="AF10" s="40">
        <v>468</v>
      </c>
      <c r="AG10" s="42">
        <v>468</v>
      </c>
      <c r="AJ10" s="48" t="s">
        <v>78</v>
      </c>
      <c r="AK10" s="47" t="s">
        <v>47</v>
      </c>
      <c r="AL10" s="47">
        <v>590</v>
      </c>
      <c r="AM10" s="47" t="s">
        <v>42</v>
      </c>
      <c r="AN10" s="47">
        <v>48</v>
      </c>
      <c r="AO10" s="47">
        <v>3</v>
      </c>
      <c r="AP10" s="47">
        <v>110000</v>
      </c>
      <c r="AQ10" s="47">
        <v>1</v>
      </c>
      <c r="AR10" s="47">
        <v>1</v>
      </c>
      <c r="AS10" s="47">
        <v>0</v>
      </c>
      <c r="AT10" s="47">
        <v>77000</v>
      </c>
      <c r="AU10" s="49">
        <v>1</v>
      </c>
      <c r="BA10" s="59" t="s">
        <v>111</v>
      </c>
      <c r="BB10" s="57" t="s">
        <v>42</v>
      </c>
      <c r="BC10" s="57">
        <v>41</v>
      </c>
      <c r="BD10" s="57">
        <v>7</v>
      </c>
      <c r="BE10" s="57">
        <v>75000</v>
      </c>
      <c r="BF10" s="57">
        <v>78000</v>
      </c>
      <c r="BG10" s="60" t="s">
        <v>100</v>
      </c>
      <c r="CJ10">
        <v>60</v>
      </c>
      <c r="CK10" t="str">
        <f t="shared" si="1"/>
        <v>60-70</v>
      </c>
    </row>
    <row r="11" spans="1:89" ht="29.25" customHeight="1" x14ac:dyDescent="0.35">
      <c r="A11" s="7">
        <v>10</v>
      </c>
      <c r="B11" s="6" t="s">
        <v>15</v>
      </c>
      <c r="C11" s="8">
        <v>282</v>
      </c>
      <c r="D11" s="4">
        <v>151</v>
      </c>
      <c r="E11" s="9">
        <v>95</v>
      </c>
      <c r="F11" s="10">
        <v>254</v>
      </c>
      <c r="G11" s="22">
        <v>144</v>
      </c>
      <c r="N11" s="25">
        <v>1010</v>
      </c>
      <c r="O11" s="25" t="s">
        <v>50</v>
      </c>
      <c r="P11" s="27">
        <v>710</v>
      </c>
      <c r="Q11" s="25" t="s">
        <v>42</v>
      </c>
      <c r="R11" s="25">
        <v>41</v>
      </c>
      <c r="S11" s="25">
        <v>7</v>
      </c>
      <c r="T11" s="29">
        <v>0</v>
      </c>
      <c r="U11" s="25">
        <v>1</v>
      </c>
      <c r="V11" s="45">
        <v>1</v>
      </c>
      <c r="W11" s="25">
        <v>0</v>
      </c>
      <c r="X11" s="31">
        <v>78000</v>
      </c>
      <c r="Y11" s="25">
        <v>1</v>
      </c>
      <c r="AJ11" s="48" t="s">
        <v>79</v>
      </c>
      <c r="AK11" s="47" t="s">
        <v>53</v>
      </c>
      <c r="AL11" s="47">
        <v>710</v>
      </c>
      <c r="AM11" s="47" t="s">
        <v>40</v>
      </c>
      <c r="AN11" s="47">
        <v>36</v>
      </c>
      <c r="AO11" s="47">
        <v>9</v>
      </c>
      <c r="AP11" s="47">
        <v>140000</v>
      </c>
      <c r="AQ11" s="47">
        <v>2</v>
      </c>
      <c r="AR11" s="47">
        <v>1</v>
      </c>
      <c r="AS11" s="47">
        <v>1</v>
      </c>
      <c r="AT11" s="47">
        <v>88000</v>
      </c>
      <c r="AU11" s="49">
        <v>0</v>
      </c>
      <c r="BA11" s="59" t="s">
        <v>119</v>
      </c>
      <c r="BB11" s="57" t="s">
        <v>42</v>
      </c>
      <c r="BC11" s="57">
        <v>48</v>
      </c>
      <c r="BD11" s="57">
        <v>10</v>
      </c>
      <c r="BE11" s="57">
        <v>130000</v>
      </c>
      <c r="BF11" s="57">
        <v>110000</v>
      </c>
      <c r="BG11" s="60" t="s">
        <v>102</v>
      </c>
      <c r="CJ11">
        <v>70</v>
      </c>
      <c r="CK11" t="str">
        <f t="shared" si="1"/>
        <v>70-80</v>
      </c>
    </row>
    <row r="12" spans="1:89" ht="29.25" customHeight="1" x14ac:dyDescent="0.35">
      <c r="A12" s="7">
        <v>11</v>
      </c>
      <c r="B12" s="6" t="s">
        <v>16</v>
      </c>
      <c r="C12" s="8">
        <v>305</v>
      </c>
      <c r="D12" s="4">
        <v>162</v>
      </c>
      <c r="E12" s="9">
        <v>104</v>
      </c>
      <c r="F12" s="10">
        <v>275</v>
      </c>
      <c r="G12" s="22">
        <v>155</v>
      </c>
      <c r="N12" s="24">
        <v>1011</v>
      </c>
      <c r="O12" s="24" t="s">
        <v>51</v>
      </c>
      <c r="P12" s="26">
        <v>600</v>
      </c>
      <c r="Q12" s="24" t="s">
        <v>40</v>
      </c>
      <c r="R12" s="24">
        <v>30</v>
      </c>
      <c r="S12" s="24">
        <v>4</v>
      </c>
      <c r="T12" s="28">
        <v>35000</v>
      </c>
      <c r="U12" s="24">
        <v>2</v>
      </c>
      <c r="V12" s="44">
        <v>0</v>
      </c>
      <c r="W12" s="24">
        <v>1</v>
      </c>
      <c r="X12" s="30">
        <v>-50000</v>
      </c>
      <c r="Y12" s="24">
        <v>0</v>
      </c>
      <c r="AJ12" s="48" t="s">
        <v>80</v>
      </c>
      <c r="AK12" s="47" t="s">
        <v>52</v>
      </c>
      <c r="AL12" s="47">
        <v>620</v>
      </c>
      <c r="AM12" s="47" t="s">
        <v>42</v>
      </c>
      <c r="AN12" s="47">
        <v>27</v>
      </c>
      <c r="AO12" s="47">
        <v>2</v>
      </c>
      <c r="AP12" s="47">
        <v>45000</v>
      </c>
      <c r="AQ12" s="47">
        <v>2</v>
      </c>
      <c r="AR12" s="47">
        <v>0</v>
      </c>
      <c r="AS12" s="47">
        <v>1</v>
      </c>
      <c r="AT12" s="47">
        <v>52000</v>
      </c>
      <c r="AU12" s="49">
        <v>0</v>
      </c>
      <c r="BA12" s="59" t="s">
        <v>109</v>
      </c>
      <c r="BB12" s="57" t="s">
        <v>42</v>
      </c>
      <c r="BC12" s="57">
        <v>38</v>
      </c>
      <c r="BD12" s="57">
        <v>6</v>
      </c>
      <c r="BE12" s="57">
        <v>120000</v>
      </c>
      <c r="BF12" s="57">
        <v>105000</v>
      </c>
      <c r="BG12" s="60" t="s">
        <v>96</v>
      </c>
      <c r="CJ12">
        <v>80</v>
      </c>
      <c r="CK12" t="str">
        <f t="shared" si="1"/>
        <v>80-90</v>
      </c>
    </row>
    <row r="13" spans="1:89" ht="29.25" customHeight="1" x14ac:dyDescent="0.35">
      <c r="A13" s="7">
        <v>12</v>
      </c>
      <c r="B13" s="6" t="s">
        <v>17</v>
      </c>
      <c r="C13" s="8">
        <v>328</v>
      </c>
      <c r="D13" s="4">
        <v>173</v>
      </c>
      <c r="E13" s="9">
        <v>113</v>
      </c>
      <c r="F13" s="10">
        <v>296</v>
      </c>
      <c r="G13" s="22">
        <v>166</v>
      </c>
      <c r="N13" s="25">
        <v>1012</v>
      </c>
      <c r="O13" s="25" t="s">
        <v>52</v>
      </c>
      <c r="P13" s="27">
        <v>-740</v>
      </c>
      <c r="Q13" s="25" t="s">
        <v>42</v>
      </c>
      <c r="R13" s="25">
        <v>46</v>
      </c>
      <c r="S13" s="25">
        <v>9</v>
      </c>
      <c r="T13" s="29">
        <v>110000</v>
      </c>
      <c r="U13" s="25">
        <v>3</v>
      </c>
      <c r="V13" s="45">
        <v>-1</v>
      </c>
      <c r="W13" s="25">
        <v>1</v>
      </c>
      <c r="X13" s="31">
        <v>98000</v>
      </c>
      <c r="Y13" s="25">
        <v>1</v>
      </c>
      <c r="AJ13" s="48" t="s">
        <v>81</v>
      </c>
      <c r="AK13" s="47" t="s">
        <v>48</v>
      </c>
      <c r="AL13" s="47">
        <v>770</v>
      </c>
      <c r="AM13" s="47" t="s">
        <v>40</v>
      </c>
      <c r="AN13" s="47">
        <v>52</v>
      </c>
      <c r="AO13" s="47">
        <v>10</v>
      </c>
      <c r="AP13" s="47">
        <v>210000</v>
      </c>
      <c r="AQ13" s="47">
        <v>1</v>
      </c>
      <c r="AR13" s="47">
        <v>1</v>
      </c>
      <c r="AS13" s="47">
        <v>0</v>
      </c>
      <c r="AT13" s="47">
        <v>115000</v>
      </c>
      <c r="AU13" s="49">
        <v>1</v>
      </c>
      <c r="BA13" s="59" t="s">
        <v>116</v>
      </c>
      <c r="BB13" s="57" t="s">
        <v>40</v>
      </c>
      <c r="BC13" s="57">
        <v>44</v>
      </c>
      <c r="BD13" s="57">
        <v>8</v>
      </c>
      <c r="BE13" s="57">
        <v>85000</v>
      </c>
      <c r="BF13" s="57">
        <v>88000</v>
      </c>
      <c r="BG13" s="60" t="s">
        <v>96</v>
      </c>
      <c r="CJ13">
        <v>90</v>
      </c>
      <c r="CK13" t="str">
        <f t="shared" si="1"/>
        <v>90-100</v>
      </c>
    </row>
    <row r="14" spans="1:89" ht="36.75" customHeight="1" x14ac:dyDescent="0.35">
      <c r="A14" s="7">
        <v>13</v>
      </c>
      <c r="B14" s="6" t="s">
        <v>18</v>
      </c>
      <c r="C14" s="8">
        <v>351</v>
      </c>
      <c r="D14" s="4">
        <v>184</v>
      </c>
      <c r="E14" s="9">
        <v>122</v>
      </c>
      <c r="F14" s="10">
        <v>317</v>
      </c>
      <c r="G14" s="22">
        <v>177</v>
      </c>
      <c r="N14" s="24">
        <v>1013</v>
      </c>
      <c r="O14" s="24" t="s">
        <v>53</v>
      </c>
      <c r="P14" s="26">
        <v>560</v>
      </c>
      <c r="Q14" s="24" t="s">
        <v>40</v>
      </c>
      <c r="R14" s="24">
        <v>28</v>
      </c>
      <c r="S14" s="24">
        <v>3</v>
      </c>
      <c r="T14" s="28">
        <v>25000</v>
      </c>
      <c r="U14" s="24">
        <v>1</v>
      </c>
      <c r="V14" s="44">
        <v>0</v>
      </c>
      <c r="W14" s="24">
        <v>0</v>
      </c>
      <c r="X14" s="30">
        <v>42000</v>
      </c>
      <c r="Y14" s="24">
        <v>0</v>
      </c>
      <c r="AJ14" s="48" t="s">
        <v>82</v>
      </c>
      <c r="AK14" s="47" t="s">
        <v>51</v>
      </c>
      <c r="AL14" s="47">
        <v>640</v>
      </c>
      <c r="AM14" s="47" t="s">
        <v>42</v>
      </c>
      <c r="AN14" s="47">
        <v>33</v>
      </c>
      <c r="AO14" s="47">
        <v>5</v>
      </c>
      <c r="AP14" s="47">
        <v>80000</v>
      </c>
      <c r="AQ14" s="47">
        <v>3</v>
      </c>
      <c r="AR14" s="47">
        <v>1</v>
      </c>
      <c r="AS14" s="47">
        <v>1</v>
      </c>
      <c r="AT14" s="47">
        <v>69000</v>
      </c>
      <c r="AU14" s="49">
        <v>0</v>
      </c>
      <c r="BA14" s="59" t="s">
        <v>99</v>
      </c>
      <c r="BB14" s="57" t="s">
        <v>40</v>
      </c>
      <c r="BC14" s="57">
        <v>29</v>
      </c>
      <c r="BD14" s="57">
        <v>3</v>
      </c>
      <c r="BE14" s="57">
        <v>30000</v>
      </c>
      <c r="BF14" s="57">
        <v>45000</v>
      </c>
      <c r="BG14" s="60" t="s">
        <v>100</v>
      </c>
      <c r="BR14" s="58" t="s">
        <v>94</v>
      </c>
      <c r="BS14" s="58" t="s">
        <v>30</v>
      </c>
      <c r="BT14" t="s">
        <v>122</v>
      </c>
      <c r="BU14" t="s">
        <v>123</v>
      </c>
      <c r="CJ14">
        <v>100</v>
      </c>
    </row>
    <row r="15" spans="1:89" ht="36.75" customHeight="1" x14ac:dyDescent="0.35">
      <c r="A15" s="7">
        <v>14</v>
      </c>
      <c r="B15" s="6" t="s">
        <v>19</v>
      </c>
      <c r="C15" s="8">
        <v>374</v>
      </c>
      <c r="D15" s="4">
        <v>195</v>
      </c>
      <c r="E15" s="9">
        <v>131</v>
      </c>
      <c r="F15" s="10">
        <v>338</v>
      </c>
      <c r="G15" s="22">
        <v>188</v>
      </c>
      <c r="N15" s="25">
        <v>1014</v>
      </c>
      <c r="O15" s="25" t="s">
        <v>54</v>
      </c>
      <c r="P15" s="27">
        <v>680</v>
      </c>
      <c r="Q15" s="25" t="s">
        <v>42</v>
      </c>
      <c r="R15" s="25">
        <v>39</v>
      </c>
      <c r="S15" s="25">
        <v>6</v>
      </c>
      <c r="T15" s="29">
        <v>60000</v>
      </c>
      <c r="U15" s="25">
        <v>2</v>
      </c>
      <c r="V15" s="45">
        <v>1</v>
      </c>
      <c r="W15" s="25">
        <v>1</v>
      </c>
      <c r="X15" s="31">
        <v>70000</v>
      </c>
      <c r="Y15" s="25">
        <v>0</v>
      </c>
      <c r="AJ15" s="48" t="s">
        <v>83</v>
      </c>
      <c r="AK15" s="47" t="s">
        <v>54</v>
      </c>
      <c r="AL15" s="47">
        <v>560</v>
      </c>
      <c r="AM15" s="47" t="s">
        <v>40</v>
      </c>
      <c r="AN15" s="47">
        <v>58</v>
      </c>
      <c r="AO15" s="47">
        <v>1</v>
      </c>
      <c r="AP15" s="47">
        <v>25000</v>
      </c>
      <c r="AQ15" s="47">
        <v>1</v>
      </c>
      <c r="AR15" s="47">
        <v>0</v>
      </c>
      <c r="AS15" s="47">
        <v>0</v>
      </c>
      <c r="AT15" s="47">
        <v>42000</v>
      </c>
      <c r="AU15" s="49">
        <v>1</v>
      </c>
      <c r="BA15" s="59" t="s">
        <v>95</v>
      </c>
      <c r="BB15" s="57" t="s">
        <v>40</v>
      </c>
      <c r="BC15" s="57">
        <v>35</v>
      </c>
      <c r="BD15" s="57">
        <v>5</v>
      </c>
      <c r="BE15" s="57">
        <v>50000</v>
      </c>
      <c r="BF15" s="57">
        <v>60000</v>
      </c>
      <c r="BG15" s="60" t="s">
        <v>96</v>
      </c>
      <c r="BR15" t="s">
        <v>104</v>
      </c>
      <c r="BS15" t="s">
        <v>42</v>
      </c>
      <c r="BT15">
        <v>46</v>
      </c>
      <c r="BU15">
        <v>9</v>
      </c>
    </row>
    <row r="16" spans="1:89" ht="36.75" customHeight="1" x14ac:dyDescent="0.35">
      <c r="A16" s="7">
        <v>15</v>
      </c>
      <c r="B16" s="6" t="s">
        <v>20</v>
      </c>
      <c r="C16" s="8">
        <v>397</v>
      </c>
      <c r="D16" s="4">
        <v>206</v>
      </c>
      <c r="E16" s="9">
        <v>140</v>
      </c>
      <c r="F16" s="10">
        <v>359</v>
      </c>
      <c r="G16" s="22">
        <v>199</v>
      </c>
      <c r="N16" s="24">
        <v>1015</v>
      </c>
      <c r="O16" s="24" t="s">
        <v>55</v>
      </c>
      <c r="P16" s="26">
        <v>720</v>
      </c>
      <c r="Q16" s="24" t="s">
        <v>40</v>
      </c>
      <c r="R16" s="24">
        <v>44</v>
      </c>
      <c r="S16" s="24">
        <v>8</v>
      </c>
      <c r="T16" s="28">
        <v>85000</v>
      </c>
      <c r="U16" s="24">
        <v>3</v>
      </c>
      <c r="V16" s="44">
        <v>1</v>
      </c>
      <c r="W16" s="24">
        <v>1</v>
      </c>
      <c r="X16" s="30">
        <v>-88000</v>
      </c>
      <c r="Y16" s="24">
        <v>1</v>
      </c>
      <c r="AJ16" s="48" t="s">
        <v>84</v>
      </c>
      <c r="AK16" s="47" t="s">
        <v>57</v>
      </c>
      <c r="AL16" s="47">
        <v>730</v>
      </c>
      <c r="AM16" s="47" t="s">
        <v>42</v>
      </c>
      <c r="AN16" s="47">
        <v>40</v>
      </c>
      <c r="AO16" s="47">
        <v>8</v>
      </c>
      <c r="AP16" s="47">
        <v>130000</v>
      </c>
      <c r="AQ16" s="47">
        <v>2</v>
      </c>
      <c r="AR16" s="47">
        <v>1</v>
      </c>
      <c r="AS16" s="47">
        <v>1</v>
      </c>
      <c r="AT16" s="47">
        <v>91000</v>
      </c>
      <c r="AU16" s="49">
        <v>0</v>
      </c>
      <c r="BA16" s="59" t="s">
        <v>107</v>
      </c>
      <c r="BB16" s="57" t="s">
        <v>40</v>
      </c>
      <c r="BC16" s="57">
        <v>27</v>
      </c>
      <c r="BD16" s="57">
        <v>2</v>
      </c>
      <c r="BE16" s="57">
        <v>20000</v>
      </c>
      <c r="BF16" s="57">
        <v>40000</v>
      </c>
      <c r="BG16" s="60" t="s">
        <v>108</v>
      </c>
      <c r="BR16" t="s">
        <v>104</v>
      </c>
      <c r="BS16" t="s">
        <v>40</v>
      </c>
      <c r="BT16">
        <v>65</v>
      </c>
      <c r="BU16">
        <v>9</v>
      </c>
    </row>
    <row r="17" spans="1:73" ht="36.75" customHeight="1" x14ac:dyDescent="0.35">
      <c r="A17" s="7">
        <v>16</v>
      </c>
      <c r="B17" s="6" t="s">
        <v>21</v>
      </c>
      <c r="C17" s="8">
        <v>420</v>
      </c>
      <c r="D17" s="4">
        <v>217</v>
      </c>
      <c r="E17" s="9">
        <v>149</v>
      </c>
      <c r="F17" s="10">
        <v>380</v>
      </c>
      <c r="G17" s="22">
        <v>210</v>
      </c>
      <c r="N17" s="25">
        <v>1016</v>
      </c>
      <c r="O17" s="25" t="s">
        <v>56</v>
      </c>
      <c r="P17" s="27">
        <v>590</v>
      </c>
      <c r="Q17" s="25" t="s">
        <v>42</v>
      </c>
      <c r="R17" s="25">
        <v>32</v>
      </c>
      <c r="S17" s="25">
        <v>5</v>
      </c>
      <c r="T17" s="29">
        <v>0</v>
      </c>
      <c r="U17" s="25">
        <v>2</v>
      </c>
      <c r="V17" s="45">
        <v>0</v>
      </c>
      <c r="W17" s="25">
        <v>0</v>
      </c>
      <c r="X17" s="31">
        <v>53000</v>
      </c>
      <c r="Y17" s="25">
        <v>0</v>
      </c>
      <c r="AA17" t="s">
        <v>67</v>
      </c>
      <c r="AJ17" s="48" t="s">
        <v>85</v>
      </c>
      <c r="AK17" s="47" t="s">
        <v>86</v>
      </c>
      <c r="AL17" s="47">
        <v>600</v>
      </c>
      <c r="AM17" s="47" t="s">
        <v>40</v>
      </c>
      <c r="AN17" s="47">
        <v>46</v>
      </c>
      <c r="AO17" s="47">
        <v>4</v>
      </c>
      <c r="AP17" s="47">
        <v>95000</v>
      </c>
      <c r="AQ17" s="47">
        <v>1</v>
      </c>
      <c r="AR17" s="47">
        <v>1</v>
      </c>
      <c r="AS17" s="47">
        <v>0</v>
      </c>
      <c r="AT17" s="47">
        <v>76000</v>
      </c>
      <c r="AU17" s="49">
        <v>1</v>
      </c>
      <c r="BA17" s="59" t="s">
        <v>112</v>
      </c>
      <c r="BB17" s="57" t="s">
        <v>40</v>
      </c>
      <c r="BC17" s="57">
        <v>30</v>
      </c>
      <c r="BD17" s="57">
        <v>4</v>
      </c>
      <c r="BE17" s="57">
        <v>35000</v>
      </c>
      <c r="BF17" s="57">
        <v>50000</v>
      </c>
      <c r="BG17" s="60" t="s">
        <v>102</v>
      </c>
      <c r="BR17" t="s">
        <v>100</v>
      </c>
      <c r="BS17" t="s">
        <v>42</v>
      </c>
      <c r="BT17">
        <v>41</v>
      </c>
      <c r="BU17">
        <v>7</v>
      </c>
    </row>
    <row r="18" spans="1:73" ht="36.75" customHeight="1" x14ac:dyDescent="0.35">
      <c r="A18" s="7">
        <v>17</v>
      </c>
      <c r="B18" s="6" t="s">
        <v>22</v>
      </c>
      <c r="C18" s="8">
        <v>443</v>
      </c>
      <c r="D18" s="4">
        <v>228</v>
      </c>
      <c r="E18" s="9">
        <v>158</v>
      </c>
      <c r="F18" s="10">
        <v>401</v>
      </c>
      <c r="G18" s="22">
        <v>221</v>
      </c>
      <c r="N18" s="24">
        <v>1017</v>
      </c>
      <c r="O18" s="24" t="s">
        <v>57</v>
      </c>
      <c r="P18" s="26">
        <v>-660</v>
      </c>
      <c r="Q18" s="24" t="s">
        <v>40</v>
      </c>
      <c r="R18" s="24">
        <v>36</v>
      </c>
      <c r="S18" s="24">
        <v>6</v>
      </c>
      <c r="T18" s="28">
        <v>65000</v>
      </c>
      <c r="U18" s="24">
        <v>2</v>
      </c>
      <c r="V18" s="44">
        <v>1</v>
      </c>
      <c r="W18" s="24">
        <v>1</v>
      </c>
      <c r="X18" s="30">
        <v>67000</v>
      </c>
      <c r="Y18" s="24">
        <v>0</v>
      </c>
      <c r="AJ18" s="48" t="s">
        <v>87</v>
      </c>
      <c r="AK18" s="47" t="s">
        <v>59</v>
      </c>
      <c r="AL18" s="47">
        <v>670</v>
      </c>
      <c r="AM18" s="47" t="s">
        <v>42</v>
      </c>
      <c r="AN18" s="47">
        <v>30</v>
      </c>
      <c r="AO18" s="47">
        <v>6</v>
      </c>
      <c r="AP18" s="47">
        <v>60000</v>
      </c>
      <c r="AQ18" s="47">
        <v>2</v>
      </c>
      <c r="AR18" s="47">
        <v>1</v>
      </c>
      <c r="AS18" s="47">
        <v>1</v>
      </c>
      <c r="AT18" s="47">
        <v>64000</v>
      </c>
      <c r="AU18" s="49">
        <v>0</v>
      </c>
      <c r="BA18" s="59" t="s">
        <v>118</v>
      </c>
      <c r="BB18" s="57" t="s">
        <v>40</v>
      </c>
      <c r="BC18" s="57">
        <v>36</v>
      </c>
      <c r="BD18" s="57">
        <v>6</v>
      </c>
      <c r="BE18" s="57">
        <v>65000</v>
      </c>
      <c r="BF18" s="57">
        <v>67000</v>
      </c>
      <c r="BG18" s="60" t="s">
        <v>100</v>
      </c>
      <c r="BR18" t="s">
        <v>100</v>
      </c>
      <c r="BS18" t="s">
        <v>40</v>
      </c>
      <c r="BT18">
        <v>65</v>
      </c>
      <c r="BU18">
        <v>9</v>
      </c>
    </row>
    <row r="19" spans="1:73" ht="36.75" customHeight="1" x14ac:dyDescent="0.35">
      <c r="A19" s="7">
        <v>18</v>
      </c>
      <c r="B19" s="6" t="s">
        <v>23</v>
      </c>
      <c r="C19" s="8">
        <v>466</v>
      </c>
      <c r="D19" s="5">
        <v>239</v>
      </c>
      <c r="E19" s="9">
        <v>167</v>
      </c>
      <c r="F19" s="10">
        <v>422</v>
      </c>
      <c r="G19" s="22">
        <v>232</v>
      </c>
      <c r="N19" s="25">
        <v>1018</v>
      </c>
      <c r="O19" s="25" t="s">
        <v>58</v>
      </c>
      <c r="P19" s="27">
        <v>780</v>
      </c>
      <c r="Q19" s="25" t="s">
        <v>42</v>
      </c>
      <c r="R19" s="25">
        <v>48</v>
      </c>
      <c r="S19" s="25">
        <v>10</v>
      </c>
      <c r="T19" s="29">
        <v>0</v>
      </c>
      <c r="U19" s="25">
        <v>3</v>
      </c>
      <c r="V19" s="45">
        <v>1</v>
      </c>
      <c r="W19" s="25">
        <v>1</v>
      </c>
      <c r="X19" s="31">
        <v>-110000</v>
      </c>
      <c r="Y19" s="25">
        <v>1</v>
      </c>
      <c r="AJ19" s="48" t="s">
        <v>88</v>
      </c>
      <c r="AK19" s="47" t="s">
        <v>89</v>
      </c>
      <c r="AL19" s="47">
        <v>780</v>
      </c>
      <c r="AM19" s="47" t="s">
        <v>40</v>
      </c>
      <c r="AN19" s="47">
        <v>55</v>
      </c>
      <c r="AO19" s="47">
        <v>9</v>
      </c>
      <c r="AP19" s="47">
        <v>220000</v>
      </c>
      <c r="AQ19" s="47">
        <v>1</v>
      </c>
      <c r="AR19" s="47">
        <v>1</v>
      </c>
      <c r="AS19" s="47">
        <v>0</v>
      </c>
      <c r="AT19" s="47">
        <v>125000</v>
      </c>
      <c r="AU19" s="49">
        <v>1</v>
      </c>
      <c r="BA19" s="59" t="s">
        <v>97</v>
      </c>
      <c r="BB19" s="57" t="s">
        <v>42</v>
      </c>
      <c r="BC19" s="57">
        <v>42</v>
      </c>
      <c r="BD19" s="57">
        <v>7</v>
      </c>
      <c r="BE19" s="57">
        <v>70000</v>
      </c>
      <c r="BF19" s="57">
        <v>75000</v>
      </c>
      <c r="BG19" s="60" t="s">
        <v>98</v>
      </c>
      <c r="BR19" t="s">
        <v>102</v>
      </c>
      <c r="BS19" t="s">
        <v>42</v>
      </c>
      <c r="BT19">
        <v>98</v>
      </c>
      <c r="BU19">
        <v>19</v>
      </c>
    </row>
    <row r="20" spans="1:73" ht="36.75" customHeight="1" x14ac:dyDescent="0.25">
      <c r="N20" s="24">
        <v>1019</v>
      </c>
      <c r="O20" s="24" t="s">
        <v>59</v>
      </c>
      <c r="P20" s="26">
        <v>620</v>
      </c>
      <c r="Q20" s="24" t="s">
        <v>40</v>
      </c>
      <c r="R20" s="24">
        <v>34</v>
      </c>
      <c r="S20" s="24">
        <v>5</v>
      </c>
      <c r="T20" s="28">
        <v>48000</v>
      </c>
      <c r="U20" s="24">
        <v>2</v>
      </c>
      <c r="V20" s="44">
        <v>1</v>
      </c>
      <c r="W20" s="24">
        <v>0</v>
      </c>
      <c r="X20" s="30">
        <v>58000</v>
      </c>
      <c r="Y20" s="24">
        <v>0</v>
      </c>
      <c r="AJ20" s="48" t="s">
        <v>90</v>
      </c>
      <c r="AK20" s="47" t="s">
        <v>60</v>
      </c>
      <c r="AL20" s="47">
        <v>630</v>
      </c>
      <c r="AM20" s="47" t="s">
        <v>42</v>
      </c>
      <c r="AN20" s="47">
        <v>37</v>
      </c>
      <c r="AO20" s="47">
        <v>3</v>
      </c>
      <c r="AP20" s="47">
        <v>85000</v>
      </c>
      <c r="AQ20" s="47">
        <v>2</v>
      </c>
      <c r="AR20" s="47">
        <v>1</v>
      </c>
      <c r="AS20" s="47">
        <v>1</v>
      </c>
      <c r="AT20" s="47">
        <v>70000</v>
      </c>
      <c r="AU20" s="49">
        <v>0</v>
      </c>
      <c r="BA20" s="59" t="s">
        <v>121</v>
      </c>
      <c r="BB20" s="57" t="s">
        <v>42</v>
      </c>
      <c r="BC20" s="57">
        <v>40</v>
      </c>
      <c r="BD20" s="57">
        <v>7</v>
      </c>
      <c r="BE20" s="57">
        <v>72000</v>
      </c>
      <c r="BF20" s="57">
        <v>76000</v>
      </c>
      <c r="BG20" s="60" t="s">
        <v>106</v>
      </c>
      <c r="BR20" t="s">
        <v>102</v>
      </c>
      <c r="BS20" t="s">
        <v>40</v>
      </c>
      <c r="BT20">
        <v>30</v>
      </c>
      <c r="BU20">
        <v>4</v>
      </c>
    </row>
    <row r="21" spans="1:73" ht="36.75" customHeight="1" x14ac:dyDescent="0.25">
      <c r="N21" s="25">
        <v>1020</v>
      </c>
      <c r="O21" s="25" t="s">
        <v>60</v>
      </c>
      <c r="P21" s="27">
        <v>700</v>
      </c>
      <c r="Q21" s="25" t="s">
        <v>42</v>
      </c>
      <c r="R21" s="25">
        <v>40</v>
      </c>
      <c r="S21" s="25">
        <v>7</v>
      </c>
      <c r="T21" s="29">
        <v>72000</v>
      </c>
      <c r="U21" s="25">
        <v>1</v>
      </c>
      <c r="V21" s="45">
        <v>1</v>
      </c>
      <c r="W21" s="25">
        <v>1</v>
      </c>
      <c r="X21" s="31">
        <v>76000</v>
      </c>
      <c r="Y21" s="25">
        <v>1</v>
      </c>
      <c r="AB21" t="s">
        <v>68</v>
      </c>
      <c r="AJ21" s="53" t="s">
        <v>91</v>
      </c>
      <c r="AK21" s="54" t="s">
        <v>55</v>
      </c>
      <c r="AL21" s="54">
        <v>550</v>
      </c>
      <c r="AM21" s="54" t="s">
        <v>40</v>
      </c>
      <c r="AN21" s="54">
        <v>60</v>
      </c>
      <c r="AO21" s="54">
        <v>1</v>
      </c>
      <c r="AP21" s="54">
        <v>15000</v>
      </c>
      <c r="AQ21" s="54">
        <v>1</v>
      </c>
      <c r="AR21" s="54">
        <v>0</v>
      </c>
      <c r="AS21" s="54">
        <v>0</v>
      </c>
      <c r="AT21" s="54">
        <v>35000</v>
      </c>
      <c r="AU21" s="55">
        <v>1</v>
      </c>
      <c r="BA21" s="64" t="s">
        <v>114</v>
      </c>
      <c r="BB21" s="65" t="s">
        <v>40</v>
      </c>
      <c r="BC21" s="65">
        <v>28</v>
      </c>
      <c r="BD21" s="65">
        <v>3</v>
      </c>
      <c r="BE21" s="65">
        <v>25000</v>
      </c>
      <c r="BF21" s="65">
        <v>42000</v>
      </c>
      <c r="BG21" s="66" t="s">
        <v>106</v>
      </c>
      <c r="BR21" t="s">
        <v>96</v>
      </c>
      <c r="BS21" t="s">
        <v>42</v>
      </c>
      <c r="BT21">
        <v>38</v>
      </c>
      <c r="BU21">
        <v>6</v>
      </c>
    </row>
    <row r="22" spans="1:73" ht="36.75" customHeight="1" x14ac:dyDescent="0.25">
      <c r="BR22" t="s">
        <v>96</v>
      </c>
      <c r="BS22" t="s">
        <v>40</v>
      </c>
      <c r="BT22">
        <v>79</v>
      </c>
      <c r="BU22">
        <v>13</v>
      </c>
    </row>
    <row r="23" spans="1:73" ht="36.75" customHeight="1" x14ac:dyDescent="0.25">
      <c r="BR23" t="s">
        <v>106</v>
      </c>
      <c r="BS23" t="s">
        <v>42</v>
      </c>
      <c r="BT23">
        <v>85</v>
      </c>
      <c r="BU23">
        <v>15</v>
      </c>
    </row>
    <row r="24" spans="1:73" ht="36.75" customHeight="1" x14ac:dyDescent="0.25">
      <c r="BR24" t="s">
        <v>106</v>
      </c>
      <c r="BS24" t="s">
        <v>40</v>
      </c>
      <c r="BT24">
        <v>28</v>
      </c>
      <c r="BU24">
        <v>3</v>
      </c>
    </row>
    <row r="25" spans="1:73" ht="36.75" customHeight="1" x14ac:dyDescent="0.25">
      <c r="BR25" t="s">
        <v>98</v>
      </c>
      <c r="BS25" t="s">
        <v>42</v>
      </c>
      <c r="BT25">
        <v>74</v>
      </c>
      <c r="BU25">
        <v>12</v>
      </c>
    </row>
    <row r="26" spans="1:73" ht="36.75" customHeight="1" x14ac:dyDescent="0.25">
      <c r="BR26" t="s">
        <v>98</v>
      </c>
      <c r="BS26" t="s">
        <v>40</v>
      </c>
      <c r="BT26">
        <v>33</v>
      </c>
      <c r="BU26">
        <v>5</v>
      </c>
    </row>
    <row r="27" spans="1:73" ht="36.75" customHeight="1" x14ac:dyDescent="0.25">
      <c r="BR27" t="s">
        <v>108</v>
      </c>
      <c r="BS27" t="s">
        <v>42</v>
      </c>
      <c r="BT27">
        <v>39</v>
      </c>
      <c r="BU27">
        <v>6</v>
      </c>
    </row>
    <row r="28" spans="1:73" ht="36.75" customHeight="1" x14ac:dyDescent="0.25">
      <c r="BR28" t="s">
        <v>108</v>
      </c>
      <c r="BS28" t="s">
        <v>40</v>
      </c>
      <c r="BT28">
        <v>27</v>
      </c>
      <c r="BU28">
        <v>2</v>
      </c>
    </row>
  </sheetData>
  <phoneticPr fontId="8" type="noConversion"/>
  <conditionalFormatting sqref="AL2:AL21">
    <cfRule type="colorScale" priority="2">
      <colorScale>
        <cfvo type="min"/>
        <cfvo type="max"/>
        <color rgb="FF63BE7B"/>
        <color rgb="FFFCFCFF"/>
      </colorScale>
    </cfRule>
  </conditionalFormatting>
  <conditionalFormatting sqref="AN2:AN21">
    <cfRule type="top10" dxfId="4" priority="5" rank="10"/>
    <cfRule type="aboveAverage" dxfId="3" priority="6"/>
  </conditionalFormatting>
  <conditionalFormatting sqref="AP2:AP21">
    <cfRule type="dataBar" priority="8">
      <dataBar>
        <cfvo type="min"/>
        <cfvo type="max"/>
        <color theme="5" tint="0.39997558519241921"/>
      </dataBar>
      <extLst>
        <ext xmlns:x14="http://schemas.microsoft.com/office/spreadsheetml/2009/9/main" uri="{B025F937-C7B1-47D3-B67F-A62EFF666E3E}">
          <x14:id>{64D9904C-0F55-4CD6-9ADC-85D570E4420B}</x14:id>
        </ext>
      </extLst>
    </cfRule>
  </conditionalFormatting>
  <conditionalFormatting sqref="AS2:AS21">
    <cfRule type="iconSet" priority="3">
      <iconSet iconSet="3Symbols">
        <cfvo type="percent" val="0"/>
        <cfvo type="percent" val="33"/>
        <cfvo type="percent" val="67"/>
      </iconSet>
    </cfRule>
  </conditionalFormatting>
  <conditionalFormatting sqref="AT2:AT21">
    <cfRule type="top10" priority="7" rank="10"/>
    <cfRule type="cellIs" dxfId="2" priority="9" operator="lessThan">
      <formula>$AW$6</formula>
    </cfRule>
    <cfRule type="cellIs" dxfId="1" priority="11" operator="greaterThan">
      <formula>$AW$6</formula>
    </cfRule>
  </conditionalFormatting>
  <conditionalFormatting sqref="BC2:BC21">
    <cfRule type="top10" dxfId="0" priority="1" rank="10"/>
  </conditionalFormatting>
  <pageMargins left="0.7" right="0.7" top="0.75" bottom="0.75" header="0.3" footer="0.3"/>
  <pageSetup orientation="portrait" r:id="rId2"/>
  <drawing r:id="rId3"/>
  <tableParts count="2">
    <tablePart r:id="rId4"/>
    <tablePart r:id="rId5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4D9904C-0F55-4CD6-9ADC-85D570E4420B}">
            <x14:dataBar minLength="0" maxLength="100" gradient="0" direction="leftToRight">
              <x14:cfvo type="autoMin"/>
              <x14:cfvo type="autoMax"/>
              <x14:negativeFillColor rgb="FFFF0000"/>
              <x14:axisColor rgb="FF000000"/>
            </x14:dataBar>
          </x14:cfRule>
          <xm:sqref>AP2:AP21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6FEEF-E9B3-4B9E-B7C9-4654C94CA7BA}">
  <dimension ref="A1:Y47"/>
  <sheetViews>
    <sheetView workbookViewId="0">
      <selection activeCell="D25" sqref="D25"/>
    </sheetView>
  </sheetViews>
  <sheetFormatPr defaultRowHeight="15" x14ac:dyDescent="0.25"/>
  <cols>
    <col min="1" max="1" width="21.5703125" customWidth="1"/>
    <col min="2" max="4" width="13.42578125" customWidth="1"/>
    <col min="5" max="5" width="20" customWidth="1"/>
    <col min="6" max="10" width="13.42578125" customWidth="1"/>
    <col min="11" max="11" width="19.42578125" customWidth="1"/>
    <col min="12" max="18" width="13.42578125" customWidth="1"/>
    <col min="19" max="23" width="17.28515625" customWidth="1"/>
    <col min="24" max="24" width="19.5703125" customWidth="1"/>
    <col min="25" max="25" width="17.28515625" customWidth="1"/>
    <col min="26" max="29" width="13.42578125" customWidth="1"/>
  </cols>
  <sheetData>
    <row r="1" spans="1:24" x14ac:dyDescent="0.25">
      <c r="A1" s="128" t="s">
        <v>172</v>
      </c>
      <c r="B1" s="129" t="s">
        <v>173</v>
      </c>
      <c r="C1" s="130" t="s">
        <v>174</v>
      </c>
      <c r="K1" s="107" t="s">
        <v>94</v>
      </c>
      <c r="L1" s="107" t="s">
        <v>40</v>
      </c>
      <c r="M1" s="107" t="s">
        <v>42</v>
      </c>
      <c r="S1" s="107" t="s">
        <v>94</v>
      </c>
      <c r="T1" s="107" t="s">
        <v>40</v>
      </c>
      <c r="U1" s="107" t="s">
        <v>40</v>
      </c>
      <c r="V1" s="107" t="s">
        <v>42</v>
      </c>
      <c r="W1" s="107" t="s">
        <v>42</v>
      </c>
    </row>
    <row r="2" spans="1:24" x14ac:dyDescent="0.25">
      <c r="A2" s="131">
        <v>78</v>
      </c>
      <c r="B2" s="127">
        <v>82</v>
      </c>
      <c r="C2" s="132">
        <v>75</v>
      </c>
      <c r="K2" s="108" t="s">
        <v>96</v>
      </c>
      <c r="L2" s="108">
        <v>60000</v>
      </c>
      <c r="M2" s="108">
        <v>65000</v>
      </c>
      <c r="S2" s="108" t="s">
        <v>96</v>
      </c>
      <c r="T2" s="108">
        <v>60000</v>
      </c>
      <c r="U2" s="108">
        <v>62000</v>
      </c>
      <c r="V2" s="108">
        <v>65000</v>
      </c>
      <c r="W2" s="108">
        <v>67000</v>
      </c>
    </row>
    <row r="3" spans="1:24" x14ac:dyDescent="0.25">
      <c r="A3" s="131">
        <v>85</v>
      </c>
      <c r="B3" s="127">
        <v>88</v>
      </c>
      <c r="C3" s="132">
        <v>80</v>
      </c>
      <c r="K3" s="108" t="s">
        <v>98</v>
      </c>
      <c r="L3" s="108">
        <v>70000</v>
      </c>
      <c r="M3" s="108">
        <v>72000</v>
      </c>
      <c r="S3" s="108" t="s">
        <v>98</v>
      </c>
      <c r="T3" s="108">
        <v>70000</v>
      </c>
      <c r="U3" s="108">
        <v>72000</v>
      </c>
      <c r="V3" s="108">
        <v>72000</v>
      </c>
      <c r="W3" s="108">
        <v>74000</v>
      </c>
    </row>
    <row r="4" spans="1:24" x14ac:dyDescent="0.25">
      <c r="A4" s="131">
        <v>90</v>
      </c>
      <c r="B4" s="127">
        <v>85</v>
      </c>
      <c r="C4" s="132">
        <v>82</v>
      </c>
      <c r="K4" s="108" t="s">
        <v>100</v>
      </c>
      <c r="L4" s="108">
        <v>55000</v>
      </c>
      <c r="M4" s="108">
        <v>58000</v>
      </c>
      <c r="S4" s="108" t="s">
        <v>100</v>
      </c>
      <c r="T4" s="108">
        <v>55000</v>
      </c>
      <c r="U4" s="108">
        <v>57000</v>
      </c>
      <c r="V4" s="108">
        <v>58000</v>
      </c>
      <c r="W4" s="108">
        <v>60000</v>
      </c>
    </row>
    <row r="5" spans="1:24" x14ac:dyDescent="0.25">
      <c r="A5" s="131">
        <v>76</v>
      </c>
      <c r="B5" s="127">
        <v>80</v>
      </c>
      <c r="C5" s="132">
        <v>78</v>
      </c>
      <c r="K5" s="108" t="s">
        <v>102</v>
      </c>
      <c r="L5" s="108">
        <v>80000</v>
      </c>
      <c r="M5" s="108">
        <v>82000</v>
      </c>
      <c r="S5" s="108" t="s">
        <v>102</v>
      </c>
      <c r="T5" s="108">
        <v>80000</v>
      </c>
      <c r="U5" s="108">
        <v>82000</v>
      </c>
      <c r="V5" s="108">
        <v>82000</v>
      </c>
      <c r="W5" s="108">
        <v>84000</v>
      </c>
    </row>
    <row r="6" spans="1:24" x14ac:dyDescent="0.25">
      <c r="A6" s="131">
        <v>88</v>
      </c>
      <c r="B6" s="127">
        <v>90</v>
      </c>
      <c r="C6" s="132">
        <v>85</v>
      </c>
      <c r="K6" s="108" t="s">
        <v>104</v>
      </c>
      <c r="L6" s="108">
        <v>65000</v>
      </c>
      <c r="M6" s="108">
        <v>67000</v>
      </c>
      <c r="S6" s="108" t="s">
        <v>104</v>
      </c>
      <c r="T6" s="108">
        <v>65000</v>
      </c>
      <c r="U6" s="108">
        <v>67000</v>
      </c>
      <c r="V6" s="108">
        <v>67000</v>
      </c>
      <c r="W6" s="108">
        <v>69000</v>
      </c>
    </row>
    <row r="7" spans="1:24" x14ac:dyDescent="0.25">
      <c r="A7" s="131">
        <v>92</v>
      </c>
      <c r="B7" s="127">
        <v>87</v>
      </c>
      <c r="C7" s="132">
        <v>88</v>
      </c>
    </row>
    <row r="8" spans="1:24" x14ac:dyDescent="0.25">
      <c r="A8" s="131">
        <v>84</v>
      </c>
      <c r="B8" s="127">
        <v>83</v>
      </c>
      <c r="C8" s="132">
        <v>79</v>
      </c>
    </row>
    <row r="9" spans="1:24" x14ac:dyDescent="0.25">
      <c r="A9" s="131">
        <v>79</v>
      </c>
      <c r="B9" s="127">
        <v>81</v>
      </c>
      <c r="C9" s="132">
        <v>77</v>
      </c>
      <c r="K9" t="s">
        <v>166</v>
      </c>
      <c r="S9" t="s">
        <v>161</v>
      </c>
    </row>
    <row r="10" spans="1:24" ht="15.75" thickBot="1" x14ac:dyDescent="0.3">
      <c r="A10" s="131">
        <v>87</v>
      </c>
      <c r="B10" s="127">
        <v>89</v>
      </c>
      <c r="C10" s="132">
        <v>84</v>
      </c>
    </row>
    <row r="11" spans="1:24" ht="15.75" thickBot="1" x14ac:dyDescent="0.3">
      <c r="A11" s="133">
        <v>91</v>
      </c>
      <c r="B11" s="134">
        <v>86</v>
      </c>
      <c r="C11" s="135">
        <v>86</v>
      </c>
      <c r="K11" s="83" t="s">
        <v>147</v>
      </c>
      <c r="L11" s="83" t="s">
        <v>144</v>
      </c>
      <c r="M11" s="83" t="s">
        <v>143</v>
      </c>
      <c r="N11" s="83" t="s">
        <v>149</v>
      </c>
      <c r="O11" s="83" t="s">
        <v>150</v>
      </c>
      <c r="S11" t="s">
        <v>147</v>
      </c>
      <c r="T11" t="s">
        <v>40</v>
      </c>
      <c r="U11" t="s">
        <v>40</v>
      </c>
      <c r="V11" t="s">
        <v>42</v>
      </c>
      <c r="W11" t="s">
        <v>42</v>
      </c>
      <c r="X11" t="s">
        <v>160</v>
      </c>
    </row>
    <row r="12" spans="1:24" ht="15.75" thickBot="1" x14ac:dyDescent="0.3">
      <c r="D12">
        <f>AVERAGE(A2:C11)</f>
        <v>83.833333333333329</v>
      </c>
      <c r="K12" s="80" t="s">
        <v>96</v>
      </c>
      <c r="L12" s="80">
        <v>2</v>
      </c>
      <c r="M12" s="80">
        <v>125000</v>
      </c>
      <c r="N12" s="80">
        <v>62500</v>
      </c>
      <c r="O12" s="80">
        <v>12500000</v>
      </c>
      <c r="S12" s="97" t="s">
        <v>96</v>
      </c>
      <c r="T12" s="97"/>
      <c r="U12" s="97"/>
      <c r="V12" s="97"/>
      <c r="W12" s="97"/>
      <c r="X12" s="97"/>
    </row>
    <row r="13" spans="1:24" x14ac:dyDescent="0.25">
      <c r="F13" t="s">
        <v>175</v>
      </c>
      <c r="K13" s="80" t="s">
        <v>98</v>
      </c>
      <c r="L13" s="80">
        <v>2</v>
      </c>
      <c r="M13" s="80">
        <v>142000</v>
      </c>
      <c r="N13" s="80">
        <v>71000</v>
      </c>
      <c r="O13" s="80">
        <v>2000000</v>
      </c>
      <c r="S13" s="80" t="s">
        <v>144</v>
      </c>
      <c r="T13" s="80">
        <v>5</v>
      </c>
      <c r="U13" s="80">
        <v>5</v>
      </c>
      <c r="V13" s="80">
        <v>5</v>
      </c>
      <c r="W13" s="80">
        <v>5</v>
      </c>
      <c r="X13" s="80">
        <v>20</v>
      </c>
    </row>
    <row r="14" spans="1:24" x14ac:dyDescent="0.25">
      <c r="A14" t="s">
        <v>146</v>
      </c>
      <c r="K14" s="80" t="s">
        <v>100</v>
      </c>
      <c r="L14" s="80">
        <v>2</v>
      </c>
      <c r="M14" s="80">
        <v>113000</v>
      </c>
      <c r="N14" s="80">
        <v>56500</v>
      </c>
      <c r="O14" s="80">
        <v>4500000</v>
      </c>
      <c r="S14" s="80" t="s">
        <v>143</v>
      </c>
      <c r="T14" s="80">
        <v>330000</v>
      </c>
      <c r="U14" s="80">
        <v>340000</v>
      </c>
      <c r="V14" s="80">
        <v>344000</v>
      </c>
      <c r="W14" s="80">
        <v>354000</v>
      </c>
      <c r="X14" s="80">
        <v>1368000</v>
      </c>
    </row>
    <row r="15" spans="1:24" x14ac:dyDescent="0.25">
      <c r="K15" s="80" t="s">
        <v>102</v>
      </c>
      <c r="L15" s="80">
        <v>2</v>
      </c>
      <c r="M15" s="80">
        <v>162000</v>
      </c>
      <c r="N15" s="80">
        <v>81000</v>
      </c>
      <c r="O15" s="80">
        <v>2000000</v>
      </c>
      <c r="S15" s="80" t="s">
        <v>149</v>
      </c>
      <c r="T15" s="80">
        <v>66000</v>
      </c>
      <c r="U15" s="80">
        <v>68000</v>
      </c>
      <c r="V15" s="80">
        <v>68800</v>
      </c>
      <c r="W15" s="80">
        <v>70800</v>
      </c>
      <c r="X15" s="80">
        <v>68400</v>
      </c>
    </row>
    <row r="16" spans="1:24" ht="15.75" thickBot="1" x14ac:dyDescent="0.3">
      <c r="A16" t="s">
        <v>147</v>
      </c>
      <c r="K16" s="80" t="s">
        <v>104</v>
      </c>
      <c r="L16" s="80">
        <v>2</v>
      </c>
      <c r="M16" s="80">
        <v>132000</v>
      </c>
      <c r="N16" s="80">
        <v>66000</v>
      </c>
      <c r="O16" s="80">
        <v>2000000</v>
      </c>
      <c r="S16" s="80" t="s">
        <v>150</v>
      </c>
      <c r="T16" s="80">
        <v>92500000</v>
      </c>
      <c r="U16" s="80">
        <v>92500000</v>
      </c>
      <c r="V16" s="80">
        <v>79700000</v>
      </c>
      <c r="W16" s="80">
        <v>79700000</v>
      </c>
      <c r="X16" s="80">
        <v>75621052.631578952</v>
      </c>
    </row>
    <row r="17" spans="1:25" x14ac:dyDescent="0.25">
      <c r="A17" s="83" t="s">
        <v>148</v>
      </c>
      <c r="B17" s="83" t="s">
        <v>144</v>
      </c>
      <c r="C17" s="83" t="s">
        <v>143</v>
      </c>
      <c r="D17" s="83" t="s">
        <v>149</v>
      </c>
      <c r="E17" s="83" t="s">
        <v>150</v>
      </c>
      <c r="G17" s="95" t="s">
        <v>176</v>
      </c>
      <c r="K17" s="80"/>
      <c r="L17" s="80"/>
      <c r="M17" s="80"/>
      <c r="N17" s="80"/>
      <c r="O17" s="80"/>
      <c r="S17" s="80"/>
      <c r="T17" s="80"/>
      <c r="U17" s="80"/>
      <c r="V17" s="80"/>
      <c r="W17" s="80"/>
      <c r="X17" s="80"/>
    </row>
    <row r="18" spans="1:25" ht="15.75" thickBot="1" x14ac:dyDescent="0.3">
      <c r="A18" s="80" t="s">
        <v>172</v>
      </c>
      <c r="B18" s="80">
        <v>10</v>
      </c>
      <c r="C18" s="80">
        <v>850</v>
      </c>
      <c r="D18" s="80">
        <v>85</v>
      </c>
      <c r="E18" s="80">
        <v>32.222222222222221</v>
      </c>
      <c r="K18" s="80" t="s">
        <v>40</v>
      </c>
      <c r="L18" s="80">
        <v>5</v>
      </c>
      <c r="M18" s="80">
        <v>330000</v>
      </c>
      <c r="N18" s="80">
        <v>66000</v>
      </c>
      <c r="O18" s="80">
        <v>92500000</v>
      </c>
      <c r="S18" s="97" t="s">
        <v>160</v>
      </c>
      <c r="T18" s="97"/>
      <c r="U18" s="97"/>
    </row>
    <row r="19" spans="1:25" ht="15.75" thickBot="1" x14ac:dyDescent="0.3">
      <c r="A19" s="80" t="s">
        <v>173</v>
      </c>
      <c r="B19" s="80">
        <v>10</v>
      </c>
      <c r="C19" s="80">
        <v>851</v>
      </c>
      <c r="D19" s="80">
        <v>85.1</v>
      </c>
      <c r="E19" s="80">
        <v>12.1</v>
      </c>
      <c r="K19" s="81" t="s">
        <v>42</v>
      </c>
      <c r="L19" s="81">
        <v>5</v>
      </c>
      <c r="M19" s="81">
        <v>344000</v>
      </c>
      <c r="N19" s="81">
        <v>68800</v>
      </c>
      <c r="O19" s="81">
        <v>79700000</v>
      </c>
      <c r="S19" s="80" t="s">
        <v>144</v>
      </c>
      <c r="T19" s="80">
        <v>5</v>
      </c>
      <c r="U19" s="80">
        <v>5</v>
      </c>
      <c r="V19">
        <v>5</v>
      </c>
      <c r="W19">
        <v>5</v>
      </c>
    </row>
    <row r="20" spans="1:25" ht="15.75" thickBot="1" x14ac:dyDescent="0.3">
      <c r="A20" s="81" t="s">
        <v>174</v>
      </c>
      <c r="B20" s="81">
        <v>10</v>
      </c>
      <c r="C20" s="81">
        <v>814</v>
      </c>
      <c r="D20" s="81">
        <v>81.400000000000006</v>
      </c>
      <c r="E20" s="81">
        <v>18.266666666666666</v>
      </c>
      <c r="S20" s="80" t="s">
        <v>143</v>
      </c>
      <c r="T20" s="80">
        <v>330000</v>
      </c>
      <c r="U20" s="80">
        <v>340000</v>
      </c>
      <c r="V20">
        <v>344000</v>
      </c>
      <c r="W20">
        <v>354000</v>
      </c>
    </row>
    <row r="21" spans="1:25" x14ac:dyDescent="0.25">
      <c r="S21" s="80" t="s">
        <v>149</v>
      </c>
      <c r="T21" s="80">
        <v>66000</v>
      </c>
      <c r="U21" s="80">
        <v>68000</v>
      </c>
      <c r="V21">
        <v>68800</v>
      </c>
      <c r="W21">
        <v>70800</v>
      </c>
    </row>
    <row r="22" spans="1:25" ht="15.75" thickBot="1" x14ac:dyDescent="0.3">
      <c r="K22" t="s">
        <v>151</v>
      </c>
      <c r="S22" s="80" t="s">
        <v>150</v>
      </c>
      <c r="T22" s="80">
        <v>92500000</v>
      </c>
      <c r="U22" s="80">
        <v>92500000</v>
      </c>
      <c r="V22">
        <v>79700000</v>
      </c>
      <c r="W22">
        <v>79700000</v>
      </c>
    </row>
    <row r="23" spans="1:25" ht="15.75" thickBot="1" x14ac:dyDescent="0.3">
      <c r="A23" t="s">
        <v>151</v>
      </c>
      <c r="K23" s="83" t="s">
        <v>152</v>
      </c>
      <c r="L23" s="83" t="s">
        <v>153</v>
      </c>
      <c r="M23" s="83" t="s">
        <v>154</v>
      </c>
      <c r="N23" s="83" t="s">
        <v>155</v>
      </c>
      <c r="O23" s="83" t="s">
        <v>11</v>
      </c>
      <c r="P23" s="83" t="s">
        <v>156</v>
      </c>
      <c r="Q23" s="83" t="s">
        <v>157</v>
      </c>
      <c r="S23" s="80"/>
      <c r="T23" s="80"/>
      <c r="U23" s="80"/>
    </row>
    <row r="24" spans="1:25" x14ac:dyDescent="0.25">
      <c r="A24" s="83" t="s">
        <v>152</v>
      </c>
      <c r="B24" s="83" t="s">
        <v>153</v>
      </c>
      <c r="C24" s="83" t="s">
        <v>154</v>
      </c>
      <c r="D24" s="83" t="s">
        <v>155</v>
      </c>
      <c r="E24" s="83"/>
      <c r="F24" s="83" t="s">
        <v>156</v>
      </c>
      <c r="G24" s="83" t="s">
        <v>157</v>
      </c>
      <c r="K24" s="80" t="s">
        <v>167</v>
      </c>
      <c r="L24" s="80">
        <v>685400000</v>
      </c>
      <c r="M24" s="80">
        <v>4</v>
      </c>
      <c r="N24" s="80">
        <v>171350000</v>
      </c>
      <c r="O24" s="80">
        <v>201.58823529411765</v>
      </c>
      <c r="P24" s="80">
        <v>7.2855325340128271E-5</v>
      </c>
      <c r="Q24" s="80">
        <v>6.38823290869587</v>
      </c>
    </row>
    <row r="25" spans="1:25" ht="15.75" thickBot="1" x14ac:dyDescent="0.3">
      <c r="A25" s="80" t="s">
        <v>158</v>
      </c>
      <c r="B25" s="80">
        <v>88.866666666666788</v>
      </c>
      <c r="C25" s="80">
        <v>2</v>
      </c>
      <c r="D25" s="80">
        <v>44.433333333333394</v>
      </c>
      <c r="E25" s="80">
        <v>2.1297709923664154</v>
      </c>
      <c r="F25" s="80">
        <v>0.13840302271610155</v>
      </c>
      <c r="G25" s="80">
        <v>3.3541308285291991</v>
      </c>
      <c r="K25" s="80" t="s">
        <v>163</v>
      </c>
      <c r="L25" s="80">
        <v>19600000</v>
      </c>
      <c r="M25" s="80">
        <v>1</v>
      </c>
      <c r="N25" s="80">
        <v>19600000</v>
      </c>
      <c r="O25" s="80">
        <v>23.058823529411764</v>
      </c>
      <c r="P25" s="80">
        <v>8.6357926075515366E-3</v>
      </c>
      <c r="Q25" s="80">
        <v>7.708647422176786</v>
      </c>
      <c r="S25" t="s">
        <v>151</v>
      </c>
    </row>
    <row r="26" spans="1:25" x14ac:dyDescent="0.25">
      <c r="A26" s="80" t="s">
        <v>159</v>
      </c>
      <c r="B26" s="80">
        <v>563.29999999999995</v>
      </c>
      <c r="C26" s="80">
        <v>27</v>
      </c>
      <c r="D26" s="80">
        <v>20.86296296296296</v>
      </c>
      <c r="E26" s="80"/>
      <c r="F26" s="80"/>
      <c r="G26" s="80"/>
      <c r="K26" s="80" t="s">
        <v>168</v>
      </c>
      <c r="L26" s="80">
        <v>3400000</v>
      </c>
      <c r="M26" s="80">
        <v>4</v>
      </c>
      <c r="N26" s="80">
        <v>850000</v>
      </c>
      <c r="O26" s="80"/>
      <c r="P26" s="80"/>
      <c r="Q26" s="80"/>
      <c r="S26" s="83" t="s">
        <v>152</v>
      </c>
      <c r="T26" s="83" t="s">
        <v>153</v>
      </c>
      <c r="U26" s="83" t="s">
        <v>154</v>
      </c>
      <c r="V26" s="83" t="s">
        <v>155</v>
      </c>
      <c r="W26" s="83" t="s">
        <v>11</v>
      </c>
      <c r="X26" s="83" t="s">
        <v>156</v>
      </c>
      <c r="Y26" s="83" t="s">
        <v>157</v>
      </c>
    </row>
    <row r="27" spans="1:25" x14ac:dyDescent="0.25">
      <c r="A27" s="80"/>
      <c r="B27" s="80"/>
      <c r="C27" s="80"/>
      <c r="D27" s="80"/>
      <c r="E27" s="80"/>
      <c r="F27" s="80"/>
      <c r="G27" s="80"/>
      <c r="K27" s="80"/>
      <c r="L27" s="80"/>
      <c r="M27" s="80"/>
      <c r="N27" s="80"/>
      <c r="O27" s="80"/>
      <c r="P27" s="80"/>
      <c r="Q27" s="80"/>
      <c r="S27" s="80" t="s">
        <v>162</v>
      </c>
      <c r="T27" s="80">
        <v>0</v>
      </c>
      <c r="U27" s="80">
        <v>0</v>
      </c>
      <c r="V27" s="80">
        <v>65535</v>
      </c>
      <c r="W27" s="80">
        <v>65535</v>
      </c>
      <c r="X27" s="80" t="e">
        <v>#NUM!</v>
      </c>
      <c r="Y27" s="80" t="e">
        <v>#NUM!</v>
      </c>
    </row>
    <row r="28" spans="1:25" ht="15.75" thickBot="1" x14ac:dyDescent="0.3">
      <c r="A28" s="81" t="s">
        <v>160</v>
      </c>
      <c r="B28" s="81">
        <v>652.16666666666674</v>
      </c>
      <c r="C28" s="81">
        <v>29</v>
      </c>
      <c r="D28" s="81"/>
      <c r="E28" s="81"/>
      <c r="F28" s="81"/>
      <c r="G28" s="81"/>
      <c r="K28" s="81" t="s">
        <v>160</v>
      </c>
      <c r="L28" s="81">
        <v>708400000</v>
      </c>
      <c r="M28" s="81">
        <v>9</v>
      </c>
      <c r="N28" s="81"/>
      <c r="O28" s="81"/>
      <c r="P28" s="81"/>
      <c r="Q28" s="81"/>
      <c r="S28" s="80" t="s">
        <v>163</v>
      </c>
      <c r="T28" s="80">
        <v>59200000</v>
      </c>
      <c r="U28" s="80">
        <v>3</v>
      </c>
      <c r="V28" s="80">
        <v>19733333.333333332</v>
      </c>
      <c r="W28" s="80">
        <v>0.22919086333720479</v>
      </c>
      <c r="X28" s="80">
        <v>0.87469835395807349</v>
      </c>
      <c r="Y28" s="80">
        <v>3.2388715174535854</v>
      </c>
    </row>
    <row r="29" spans="1:25" x14ac:dyDescent="0.25">
      <c r="S29" s="80" t="s">
        <v>164</v>
      </c>
      <c r="T29" s="80">
        <v>0</v>
      </c>
      <c r="U29" s="80">
        <v>0</v>
      </c>
      <c r="V29" s="80">
        <v>65535</v>
      </c>
      <c r="W29" s="80">
        <v>65535</v>
      </c>
      <c r="X29" s="80" t="e">
        <v>#NUM!</v>
      </c>
      <c r="Y29" s="80" t="e">
        <v>#NUM!</v>
      </c>
    </row>
    <row r="30" spans="1:25" x14ac:dyDescent="0.25">
      <c r="S30" s="80" t="s">
        <v>165</v>
      </c>
      <c r="T30" s="80">
        <v>1377600000</v>
      </c>
      <c r="U30" s="80">
        <v>16</v>
      </c>
      <c r="V30" s="80">
        <v>86100000</v>
      </c>
      <c r="W30" s="80"/>
      <c r="X30" s="80"/>
      <c r="Y30" s="80"/>
    </row>
    <row r="31" spans="1:25" x14ac:dyDescent="0.25">
      <c r="S31" s="80"/>
      <c r="T31" s="80"/>
      <c r="U31" s="80"/>
      <c r="V31" s="80"/>
      <c r="W31" s="80"/>
      <c r="X31" s="80"/>
      <c r="Y31" s="80"/>
    </row>
    <row r="32" spans="1:25" ht="15.75" thickBot="1" x14ac:dyDescent="0.3">
      <c r="S32" s="81" t="s">
        <v>160</v>
      </c>
      <c r="T32" s="81">
        <v>1436800000</v>
      </c>
      <c r="U32" s="81">
        <v>19</v>
      </c>
      <c r="V32" s="81"/>
      <c r="W32" s="81"/>
      <c r="X32" s="81"/>
      <c r="Y32" s="81"/>
    </row>
    <row r="33" spans="1:11" x14ac:dyDescent="0.25">
      <c r="A33" s="107" t="s">
        <v>96</v>
      </c>
      <c r="B33" s="107" t="s">
        <v>98</v>
      </c>
      <c r="C33" s="107" t="s">
        <v>100</v>
      </c>
      <c r="E33" t="s">
        <v>146</v>
      </c>
    </row>
    <row r="34" spans="1:11" x14ac:dyDescent="0.25">
      <c r="A34" s="108">
        <v>60000</v>
      </c>
      <c r="B34" s="108">
        <v>75000</v>
      </c>
      <c r="C34" s="108">
        <v>45000</v>
      </c>
    </row>
    <row r="35" spans="1:11" ht="15.75" thickBot="1" x14ac:dyDescent="0.3">
      <c r="A35" s="108">
        <v>105000</v>
      </c>
      <c r="B35" s="108">
        <v>62000</v>
      </c>
      <c r="C35" s="108">
        <v>78000</v>
      </c>
      <c r="E35" t="s">
        <v>147</v>
      </c>
    </row>
    <row r="36" spans="1:11" x14ac:dyDescent="0.25">
      <c r="A36" s="108">
        <v>88000</v>
      </c>
      <c r="B36" s="108">
        <v>53000</v>
      </c>
      <c r="C36" s="108">
        <v>67000</v>
      </c>
      <c r="E36" s="83" t="s">
        <v>148</v>
      </c>
      <c r="F36" s="83" t="s">
        <v>144</v>
      </c>
      <c r="G36" s="83" t="s">
        <v>143</v>
      </c>
      <c r="H36" s="83" t="s">
        <v>149</v>
      </c>
      <c r="I36" s="83" t="s">
        <v>150</v>
      </c>
    </row>
    <row r="37" spans="1:11" x14ac:dyDescent="0.25">
      <c r="E37" s="80" t="s">
        <v>96</v>
      </c>
      <c r="F37" s="80">
        <v>3</v>
      </c>
      <c r="G37" s="80">
        <v>253000</v>
      </c>
      <c r="H37" s="80">
        <v>84333.333333333328</v>
      </c>
      <c r="I37" s="80">
        <v>516333333.33333397</v>
      </c>
    </row>
    <row r="38" spans="1:11" x14ac:dyDescent="0.25">
      <c r="E38" s="80" t="s">
        <v>98</v>
      </c>
      <c r="F38" s="80">
        <v>3</v>
      </c>
      <c r="G38" s="80">
        <v>190000</v>
      </c>
      <c r="H38" s="80">
        <v>63333.333333333336</v>
      </c>
      <c r="I38" s="80">
        <v>122333333.33333302</v>
      </c>
    </row>
    <row r="39" spans="1:11" ht="15.75" thickBot="1" x14ac:dyDescent="0.3">
      <c r="E39" s="81" t="s">
        <v>100</v>
      </c>
      <c r="F39" s="81">
        <v>3</v>
      </c>
      <c r="G39" s="81">
        <v>190000</v>
      </c>
      <c r="H39" s="81">
        <v>63333.333333333336</v>
      </c>
      <c r="I39" s="81">
        <v>282333333.33333302</v>
      </c>
    </row>
    <row r="40" spans="1:11" x14ac:dyDescent="0.25">
      <c r="H40">
        <f>AVERAGE(H37:H39)</f>
        <v>70333.333333333328</v>
      </c>
    </row>
    <row r="42" spans="1:11" ht="15.75" thickBot="1" x14ac:dyDescent="0.3">
      <c r="E42" t="s">
        <v>151</v>
      </c>
    </row>
    <row r="43" spans="1:11" x14ac:dyDescent="0.25">
      <c r="E43" s="83" t="s">
        <v>152</v>
      </c>
      <c r="F43" s="83" t="s">
        <v>153</v>
      </c>
      <c r="G43" s="83" t="s">
        <v>154</v>
      </c>
      <c r="H43" s="83" t="s">
        <v>155</v>
      </c>
      <c r="I43" s="83" t="s">
        <v>11</v>
      </c>
      <c r="J43" s="83" t="s">
        <v>156</v>
      </c>
      <c r="K43" s="83" t="s">
        <v>157</v>
      </c>
    </row>
    <row r="44" spans="1:11" x14ac:dyDescent="0.25">
      <c r="E44" s="80" t="s">
        <v>158</v>
      </c>
      <c r="F44" s="80">
        <v>881999999.99999976</v>
      </c>
      <c r="G44" s="80">
        <v>2</v>
      </c>
      <c r="H44" s="80">
        <v>440999999.99999988</v>
      </c>
      <c r="I44" s="80">
        <v>1.4364820846905531</v>
      </c>
      <c r="J44" s="80">
        <v>0.30920575454581306</v>
      </c>
      <c r="K44" s="80">
        <v>5.1432528497847176</v>
      </c>
    </row>
    <row r="45" spans="1:11" x14ac:dyDescent="0.25">
      <c r="E45" s="80" t="s">
        <v>159</v>
      </c>
      <c r="F45" s="80">
        <v>1842000000.0000002</v>
      </c>
      <c r="G45" s="80">
        <v>6</v>
      </c>
      <c r="H45" s="80">
        <v>307000000.00000006</v>
      </c>
      <c r="I45" s="80"/>
      <c r="J45" s="80"/>
      <c r="K45" s="80"/>
    </row>
    <row r="46" spans="1:11" x14ac:dyDescent="0.25">
      <c r="E46" s="80"/>
      <c r="F46" s="80"/>
      <c r="G46" s="80"/>
      <c r="H46" s="80"/>
      <c r="I46" s="80"/>
      <c r="J46" s="80"/>
      <c r="K46" s="80"/>
    </row>
    <row r="47" spans="1:11" ht="15.75" thickBot="1" x14ac:dyDescent="0.3">
      <c r="E47" s="81" t="s">
        <v>160</v>
      </c>
      <c r="F47" s="81">
        <v>2724000000</v>
      </c>
      <c r="G47" s="81">
        <v>8</v>
      </c>
      <c r="H47" s="81"/>
      <c r="I47" s="81"/>
      <c r="J47" s="81"/>
      <c r="K47" s="8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06179-D5AE-4DED-B448-63BCE48C5242}">
  <dimension ref="A1:AX142"/>
  <sheetViews>
    <sheetView workbookViewId="0">
      <pane ySplit="1" topLeftCell="A14" activePane="bottomLeft" state="frozen"/>
      <selection pane="bottomLeft" activeCell="D25" sqref="D25"/>
    </sheetView>
  </sheetViews>
  <sheetFormatPr defaultRowHeight="15" x14ac:dyDescent="0.25"/>
  <cols>
    <col min="1" max="1" width="21.5703125" customWidth="1"/>
    <col min="2" max="2" width="16.7109375" customWidth="1"/>
    <col min="3" max="3" width="16.140625" customWidth="1"/>
    <col min="4" max="4" width="26.5703125" customWidth="1"/>
    <col min="5" max="5" width="16.28515625" customWidth="1"/>
    <col min="6" max="6" width="26.85546875" customWidth="1"/>
    <col min="7" max="7" width="18.7109375" customWidth="1"/>
    <col min="8" max="8" width="25.140625" customWidth="1"/>
    <col min="9" max="9" width="16.7109375" customWidth="1"/>
    <col min="10" max="10" width="14.42578125" customWidth="1"/>
    <col min="11" max="16" width="21.85546875" customWidth="1"/>
    <col min="17" max="17" width="18.42578125" customWidth="1"/>
    <col min="18" max="23" width="14.42578125" customWidth="1"/>
    <col min="25" max="25" width="19.85546875" style="89" customWidth="1"/>
    <col min="26" max="26" width="16.7109375" style="89" customWidth="1"/>
    <col min="27" max="30" width="19.85546875" style="89" customWidth="1"/>
    <col min="31" max="31" width="19.85546875" customWidth="1"/>
    <col min="34" max="34" width="17.28515625" customWidth="1"/>
    <col min="35" max="35" width="14" customWidth="1"/>
    <col min="36" max="36" width="13.7109375" customWidth="1"/>
    <col min="37" max="39" width="17.28515625" customWidth="1"/>
    <col min="40" max="40" width="29" customWidth="1"/>
    <col min="41" max="42" width="13.42578125" customWidth="1"/>
    <col min="44" max="50" width="18.7109375" customWidth="1"/>
  </cols>
  <sheetData>
    <row r="1" spans="1:50" ht="23.25" customHeight="1" x14ac:dyDescent="0.5">
      <c r="A1" s="74" t="s">
        <v>92</v>
      </c>
      <c r="B1" s="74" t="s">
        <v>30</v>
      </c>
      <c r="C1" s="74" t="s">
        <v>31</v>
      </c>
      <c r="D1" s="74" t="s">
        <v>32</v>
      </c>
      <c r="E1" s="74" t="s">
        <v>33</v>
      </c>
      <c r="F1" s="74" t="s">
        <v>93</v>
      </c>
      <c r="G1" s="79" t="s">
        <v>29</v>
      </c>
      <c r="H1" s="76" t="s">
        <v>94</v>
      </c>
      <c r="K1" s="119"/>
      <c r="L1" s="120" t="s">
        <v>31</v>
      </c>
      <c r="M1" s="120" t="s">
        <v>32</v>
      </c>
      <c r="N1" s="120" t="s">
        <v>33</v>
      </c>
      <c r="O1" s="120" t="s">
        <v>93</v>
      </c>
      <c r="AN1" s="89" t="s">
        <v>169</v>
      </c>
      <c r="AO1" s="89"/>
      <c r="AP1" s="89"/>
      <c r="AQ1" s="89"/>
      <c r="AR1" s="89"/>
      <c r="AS1" s="89"/>
      <c r="AT1" s="89"/>
      <c r="AU1" s="89"/>
      <c r="AV1" s="89"/>
      <c r="AW1" s="89"/>
      <c r="AX1" s="89"/>
    </row>
    <row r="2" spans="1:50" ht="23.25" customHeight="1" x14ac:dyDescent="0.45">
      <c r="A2" s="78" t="s">
        <v>95</v>
      </c>
      <c r="B2" s="78" t="s">
        <v>40</v>
      </c>
      <c r="C2" s="75">
        <v>35</v>
      </c>
      <c r="D2" s="75">
        <v>5</v>
      </c>
      <c r="E2" s="75">
        <v>50000</v>
      </c>
      <c r="F2" s="75">
        <v>60000</v>
      </c>
      <c r="G2" s="84">
        <v>650</v>
      </c>
      <c r="H2" s="77" t="s">
        <v>96</v>
      </c>
      <c r="K2" s="118" t="s">
        <v>31</v>
      </c>
      <c r="L2" s="118">
        <v>1</v>
      </c>
      <c r="M2" s="118"/>
      <c r="N2" s="118"/>
      <c r="O2" s="118"/>
      <c r="Q2" t="s">
        <v>146</v>
      </c>
      <c r="Y2" s="89" t="s">
        <v>161</v>
      </c>
      <c r="AE2" s="89"/>
      <c r="AH2" t="s">
        <v>166</v>
      </c>
      <c r="AN2" s="126" t="s">
        <v>170</v>
      </c>
      <c r="AO2" s="126"/>
      <c r="AP2" s="126"/>
      <c r="AQ2" s="89"/>
      <c r="AR2" s="89"/>
      <c r="AS2" s="89"/>
      <c r="AT2" s="89"/>
      <c r="AU2" s="89"/>
      <c r="AV2" s="89"/>
      <c r="AW2" s="89"/>
      <c r="AX2" s="89"/>
    </row>
    <row r="3" spans="1:50" ht="23.25" customHeight="1" x14ac:dyDescent="0.45">
      <c r="A3" s="78" t="s">
        <v>97</v>
      </c>
      <c r="B3" s="78" t="s">
        <v>42</v>
      </c>
      <c r="C3" s="75">
        <v>42</v>
      </c>
      <c r="D3" s="75">
        <v>7</v>
      </c>
      <c r="E3" s="75">
        <v>70000</v>
      </c>
      <c r="F3" s="75">
        <v>75000</v>
      </c>
      <c r="G3" s="84" t="s">
        <v>129</v>
      </c>
      <c r="H3" s="77" t="s">
        <v>98</v>
      </c>
      <c r="K3" s="118" t="s">
        <v>32</v>
      </c>
      <c r="L3" s="118">
        <v>0.97930019030353532</v>
      </c>
      <c r="M3" s="118">
        <v>1</v>
      </c>
      <c r="N3" s="118"/>
      <c r="O3" s="118"/>
      <c r="AE3" s="89"/>
      <c r="AN3" s="113" t="s">
        <v>171</v>
      </c>
      <c r="AO3" s="113"/>
      <c r="AP3" s="113"/>
      <c r="AQ3" s="89"/>
      <c r="AR3" s="89"/>
      <c r="AS3" s="89"/>
      <c r="AT3" s="89"/>
      <c r="AU3" s="89"/>
      <c r="AV3" s="89"/>
      <c r="AW3" s="89"/>
      <c r="AX3" s="89"/>
    </row>
    <row r="4" spans="1:50" ht="23.25" customHeight="1" x14ac:dyDescent="0.45">
      <c r="A4" s="78" t="s">
        <v>99</v>
      </c>
      <c r="B4" s="78" t="s">
        <v>40</v>
      </c>
      <c r="C4" s="75">
        <v>29</v>
      </c>
      <c r="D4" s="75">
        <v>3</v>
      </c>
      <c r="E4" s="75">
        <v>30000</v>
      </c>
      <c r="F4" s="75">
        <v>45000</v>
      </c>
      <c r="G4" s="84">
        <v>580</v>
      </c>
      <c r="H4" s="77" t="s">
        <v>100</v>
      </c>
      <c r="K4" s="118" t="s">
        <v>33</v>
      </c>
      <c r="L4" s="118">
        <v>0.87243524930412697</v>
      </c>
      <c r="M4" s="118">
        <v>0.89590829283458073</v>
      </c>
      <c r="N4" s="118">
        <v>1</v>
      </c>
      <c r="O4" s="118"/>
      <c r="Q4" t="s">
        <v>147</v>
      </c>
      <c r="Y4" s="73" t="s">
        <v>147</v>
      </c>
      <c r="Z4" s="68" t="s">
        <v>31</v>
      </c>
      <c r="AA4" s="68" t="s">
        <v>32</v>
      </c>
      <c r="AB4" s="68" t="s">
        <v>33</v>
      </c>
      <c r="AC4" s="68" t="s">
        <v>93</v>
      </c>
      <c r="AD4" s="69" t="s">
        <v>160</v>
      </c>
      <c r="AE4" s="89"/>
      <c r="AH4" s="93" t="s">
        <v>147</v>
      </c>
      <c r="AI4" s="93" t="s">
        <v>144</v>
      </c>
      <c r="AJ4" s="93" t="s">
        <v>143</v>
      </c>
      <c r="AK4" s="93" t="s">
        <v>149</v>
      </c>
      <c r="AL4" s="93" t="s">
        <v>150</v>
      </c>
      <c r="AN4" s="113"/>
      <c r="AO4" s="113"/>
      <c r="AP4" s="113"/>
      <c r="AQ4" s="89"/>
      <c r="AR4" s="89"/>
      <c r="AS4" s="89"/>
      <c r="AT4" s="89"/>
      <c r="AU4" s="89"/>
      <c r="AV4" s="89"/>
      <c r="AW4" s="89"/>
      <c r="AX4" s="89"/>
    </row>
    <row r="5" spans="1:50" ht="23.25" customHeight="1" x14ac:dyDescent="0.45">
      <c r="A5" s="78" t="s">
        <v>101</v>
      </c>
      <c r="B5" s="78" t="s">
        <v>42</v>
      </c>
      <c r="C5" s="75">
        <v>50</v>
      </c>
      <c r="D5" s="75">
        <v>9</v>
      </c>
      <c r="E5" s="75">
        <v>90000</v>
      </c>
      <c r="F5" s="75">
        <v>85000</v>
      </c>
      <c r="G5" s="84">
        <v>690</v>
      </c>
      <c r="H5" s="77" t="s">
        <v>102</v>
      </c>
      <c r="K5" s="118" t="s">
        <v>93</v>
      </c>
      <c r="L5" s="118">
        <v>0.88972047117351816</v>
      </c>
      <c r="M5" s="118">
        <v>0.90355216870491084</v>
      </c>
      <c r="N5" s="118">
        <v>0.99467714395209283</v>
      </c>
      <c r="O5" s="118">
        <v>1</v>
      </c>
      <c r="Q5" s="124" t="s">
        <v>148</v>
      </c>
      <c r="R5" s="124" t="s">
        <v>144</v>
      </c>
      <c r="S5" s="124" t="s">
        <v>143</v>
      </c>
      <c r="T5" s="124" t="s">
        <v>149</v>
      </c>
      <c r="U5" s="124" t="s">
        <v>150</v>
      </c>
      <c r="Y5" s="99" t="s">
        <v>40</v>
      </c>
      <c r="Z5" s="98"/>
      <c r="AA5" s="98"/>
      <c r="AB5" s="98"/>
      <c r="AC5" s="98"/>
      <c r="AD5" s="100"/>
      <c r="AE5" s="89"/>
      <c r="AH5" s="94">
        <v>35</v>
      </c>
      <c r="AI5" s="94">
        <v>3</v>
      </c>
      <c r="AJ5" s="94">
        <v>110005</v>
      </c>
      <c r="AK5" s="94">
        <v>36668.333333333336</v>
      </c>
      <c r="AL5" s="94">
        <v>1033150008.3333333</v>
      </c>
      <c r="AN5" s="113"/>
      <c r="AO5" s="113"/>
      <c r="AP5" s="113"/>
      <c r="AQ5" s="89"/>
      <c r="AR5" s="95"/>
      <c r="AS5" s="95"/>
      <c r="AT5" s="95"/>
      <c r="AU5" s="95"/>
      <c r="AV5" s="95"/>
      <c r="AW5" s="89"/>
      <c r="AX5" s="89"/>
    </row>
    <row r="6" spans="1:50" ht="23.25" customHeight="1" x14ac:dyDescent="0.45">
      <c r="A6" s="78" t="s">
        <v>103</v>
      </c>
      <c r="B6" s="78" t="s">
        <v>40</v>
      </c>
      <c r="C6" s="75">
        <v>31</v>
      </c>
      <c r="D6" s="75">
        <v>4</v>
      </c>
      <c r="E6" s="75">
        <v>40000</v>
      </c>
      <c r="F6" s="75">
        <v>52000</v>
      </c>
      <c r="G6" s="84">
        <v>610</v>
      </c>
      <c r="H6" s="77" t="s">
        <v>104</v>
      </c>
      <c r="Q6" s="125" t="s">
        <v>31</v>
      </c>
      <c r="R6" s="125">
        <v>20</v>
      </c>
      <c r="S6" s="125">
        <v>748</v>
      </c>
      <c r="T6" s="125">
        <v>37.4</v>
      </c>
      <c r="U6" s="125">
        <v>48.463157894736803</v>
      </c>
      <c r="Y6" s="87" t="s">
        <v>144</v>
      </c>
      <c r="Z6" s="80">
        <v>20</v>
      </c>
      <c r="AA6" s="80">
        <v>20</v>
      </c>
      <c r="AB6" s="80">
        <v>20</v>
      </c>
      <c r="AC6" s="80">
        <v>20</v>
      </c>
      <c r="AD6" s="88">
        <v>80</v>
      </c>
      <c r="AE6" s="89"/>
      <c r="AH6" s="94">
        <v>42</v>
      </c>
      <c r="AI6" s="94">
        <v>3</v>
      </c>
      <c r="AJ6" s="94">
        <v>145007</v>
      </c>
      <c r="AK6" s="94">
        <v>48335.666666666664</v>
      </c>
      <c r="AL6" s="94">
        <v>1757995016.3333335</v>
      </c>
      <c r="AN6" s="113"/>
      <c r="AO6" s="113"/>
      <c r="AP6" s="113"/>
      <c r="AQ6" s="89"/>
      <c r="AR6" s="80"/>
      <c r="AS6" s="80"/>
      <c r="AT6" s="80"/>
      <c r="AU6" s="80"/>
      <c r="AV6" s="80"/>
      <c r="AW6" s="89"/>
      <c r="AX6" s="89"/>
    </row>
    <row r="7" spans="1:50" ht="23.25" customHeight="1" x14ac:dyDescent="0.45">
      <c r="A7" s="78" t="s">
        <v>105</v>
      </c>
      <c r="B7" s="78" t="s">
        <v>42</v>
      </c>
      <c r="C7" s="75">
        <v>45</v>
      </c>
      <c r="D7" s="75">
        <v>8</v>
      </c>
      <c r="E7" s="75">
        <v>100000</v>
      </c>
      <c r="F7" s="75">
        <v>95000</v>
      </c>
      <c r="G7" s="84">
        <v>730</v>
      </c>
      <c r="H7" s="77" t="s">
        <v>106</v>
      </c>
      <c r="L7" t="s">
        <v>145</v>
      </c>
      <c r="Q7" s="125" t="s">
        <v>32</v>
      </c>
      <c r="R7" s="125">
        <v>20</v>
      </c>
      <c r="S7" s="125">
        <v>119</v>
      </c>
      <c r="T7" s="125">
        <v>5.95</v>
      </c>
      <c r="U7" s="125">
        <v>4.78684210526316</v>
      </c>
      <c r="Y7" s="87" t="s">
        <v>143</v>
      </c>
      <c r="Z7" s="80">
        <v>748</v>
      </c>
      <c r="AA7" s="80">
        <v>119</v>
      </c>
      <c r="AB7" s="80">
        <v>1325000</v>
      </c>
      <c r="AC7" s="80">
        <v>1409000</v>
      </c>
      <c r="AD7" s="88">
        <v>2734867</v>
      </c>
      <c r="AE7" s="89"/>
      <c r="AH7" s="94">
        <v>29</v>
      </c>
      <c r="AI7" s="94">
        <v>3</v>
      </c>
      <c r="AJ7" s="94">
        <v>75003</v>
      </c>
      <c r="AK7" s="94">
        <v>25001</v>
      </c>
      <c r="AL7" s="94">
        <v>524925003</v>
      </c>
      <c r="AN7" s="113"/>
      <c r="AO7" s="113"/>
      <c r="AP7" s="113"/>
      <c r="AQ7" s="89"/>
      <c r="AR7" s="80"/>
      <c r="AS7" s="80"/>
      <c r="AT7" s="80"/>
      <c r="AU7" s="80"/>
      <c r="AV7" s="80"/>
      <c r="AW7" s="89"/>
      <c r="AX7" s="89"/>
    </row>
    <row r="8" spans="1:50" ht="23.25" customHeight="1" x14ac:dyDescent="0.45">
      <c r="A8" s="78" t="s">
        <v>107</v>
      </c>
      <c r="B8" s="78" t="s">
        <v>40</v>
      </c>
      <c r="C8" s="75">
        <v>27</v>
      </c>
      <c r="D8" s="75">
        <v>2</v>
      </c>
      <c r="E8" s="75">
        <v>20000</v>
      </c>
      <c r="F8" s="75">
        <v>40000</v>
      </c>
      <c r="G8" s="84">
        <v>540</v>
      </c>
      <c r="H8" s="77" t="s">
        <v>108</v>
      </c>
      <c r="Q8" s="125" t="s">
        <v>33</v>
      </c>
      <c r="R8" s="125">
        <v>20</v>
      </c>
      <c r="S8" s="125">
        <v>1325000</v>
      </c>
      <c r="T8" s="125">
        <v>66250</v>
      </c>
      <c r="U8" s="125">
        <v>1004302631.5789474</v>
      </c>
      <c r="Y8" s="87" t="s">
        <v>149</v>
      </c>
      <c r="Z8" s="80">
        <v>37.4</v>
      </c>
      <c r="AA8" s="80">
        <v>5.95</v>
      </c>
      <c r="AB8" s="80">
        <v>66250</v>
      </c>
      <c r="AC8" s="80">
        <v>70450</v>
      </c>
      <c r="AD8" s="88">
        <v>34185.837500000001</v>
      </c>
      <c r="AE8" s="89"/>
      <c r="AH8" s="94">
        <v>50</v>
      </c>
      <c r="AI8" s="94">
        <v>3</v>
      </c>
      <c r="AJ8" s="94">
        <v>175009</v>
      </c>
      <c r="AK8" s="94">
        <v>58336.333333333336</v>
      </c>
      <c r="AL8" s="94">
        <v>2557808360.333333</v>
      </c>
      <c r="AN8" s="113"/>
      <c r="AO8" s="113"/>
      <c r="AP8" s="113"/>
      <c r="AQ8" s="89"/>
      <c r="AR8" s="80"/>
      <c r="AS8" s="80"/>
      <c r="AT8" s="80"/>
      <c r="AU8" s="80"/>
      <c r="AV8" s="80"/>
      <c r="AW8" s="89"/>
      <c r="AX8" s="89"/>
    </row>
    <row r="9" spans="1:50" ht="23.25" customHeight="1" x14ac:dyDescent="0.45">
      <c r="A9" s="78" t="s">
        <v>109</v>
      </c>
      <c r="B9" s="78" t="s">
        <v>42</v>
      </c>
      <c r="C9" s="75">
        <v>38</v>
      </c>
      <c r="D9" s="75">
        <v>6</v>
      </c>
      <c r="E9" s="75">
        <v>120000</v>
      </c>
      <c r="F9" s="75">
        <v>105000</v>
      </c>
      <c r="G9" s="84" t="s">
        <v>130</v>
      </c>
      <c r="H9" s="77" t="s">
        <v>96</v>
      </c>
      <c r="K9" s="122"/>
      <c r="L9" s="122" t="s">
        <v>31</v>
      </c>
      <c r="M9" s="122" t="s">
        <v>32</v>
      </c>
      <c r="N9" s="122" t="s">
        <v>33</v>
      </c>
      <c r="O9" s="122" t="s">
        <v>93</v>
      </c>
      <c r="P9" s="95"/>
      <c r="Q9" s="125" t="s">
        <v>93</v>
      </c>
      <c r="R9" s="125">
        <v>20</v>
      </c>
      <c r="S9" s="125">
        <v>1409000</v>
      </c>
      <c r="T9" s="125">
        <v>70450</v>
      </c>
      <c r="U9" s="125">
        <v>449628947.36842108</v>
      </c>
      <c r="Y9" s="90" t="s">
        <v>150</v>
      </c>
      <c r="Z9" s="91">
        <v>48.463157894736803</v>
      </c>
      <c r="AA9" s="91">
        <v>4.78684210526316</v>
      </c>
      <c r="AB9" s="91">
        <v>1004302631.5789474</v>
      </c>
      <c r="AC9" s="91">
        <v>449628947.36842108</v>
      </c>
      <c r="AD9" s="92">
        <v>1533877352.5175633</v>
      </c>
      <c r="AE9" s="89"/>
      <c r="AH9" s="94">
        <v>31</v>
      </c>
      <c r="AI9" s="94">
        <v>3</v>
      </c>
      <c r="AJ9" s="94">
        <v>92004</v>
      </c>
      <c r="AK9" s="94">
        <v>30668</v>
      </c>
      <c r="AL9" s="94">
        <v>741210672</v>
      </c>
      <c r="AN9" s="113"/>
      <c r="AO9" s="113"/>
      <c r="AP9" s="113"/>
      <c r="AQ9" s="89"/>
      <c r="AR9" s="89"/>
      <c r="AS9" s="89"/>
      <c r="AT9" s="89"/>
      <c r="AU9" s="89"/>
      <c r="AV9" s="89"/>
      <c r="AW9" s="89"/>
      <c r="AX9" s="89"/>
    </row>
    <row r="10" spans="1:50" ht="23.25" customHeight="1" x14ac:dyDescent="0.45">
      <c r="A10" s="78" t="s">
        <v>110</v>
      </c>
      <c r="B10" s="78" t="s">
        <v>40</v>
      </c>
      <c r="C10" s="75">
        <v>33</v>
      </c>
      <c r="D10" s="75">
        <v>5</v>
      </c>
      <c r="E10" s="75">
        <v>55000</v>
      </c>
      <c r="F10" s="75">
        <v>62000</v>
      </c>
      <c r="G10" s="84">
        <v>670</v>
      </c>
      <c r="H10" s="77" t="s">
        <v>98</v>
      </c>
      <c r="K10" s="123"/>
      <c r="L10" s="123"/>
      <c r="M10" s="123"/>
      <c r="N10" s="123"/>
      <c r="O10" s="123"/>
      <c r="P10" s="96"/>
      <c r="Y10" s="80"/>
      <c r="Z10" s="80"/>
      <c r="AA10" s="80"/>
      <c r="AB10" s="80"/>
      <c r="AC10" s="80"/>
      <c r="AD10" s="80"/>
      <c r="AE10" s="89"/>
      <c r="AH10" s="94">
        <v>45</v>
      </c>
      <c r="AI10" s="94">
        <v>3</v>
      </c>
      <c r="AJ10" s="94">
        <v>195008</v>
      </c>
      <c r="AK10" s="94">
        <v>65002.666666666664</v>
      </c>
      <c r="AL10" s="94">
        <v>3174480021.333333</v>
      </c>
      <c r="AN10" s="113"/>
      <c r="AO10" s="113"/>
      <c r="AP10" s="113"/>
      <c r="AQ10" s="89"/>
      <c r="AR10" s="89"/>
      <c r="AS10" s="89"/>
      <c r="AT10" s="89"/>
      <c r="AU10" s="89"/>
      <c r="AV10" s="89"/>
      <c r="AW10" s="89"/>
      <c r="AX10" s="89"/>
    </row>
    <row r="11" spans="1:50" ht="23.25" customHeight="1" x14ac:dyDescent="0.45">
      <c r="A11" s="78" t="s">
        <v>111</v>
      </c>
      <c r="B11" s="78" t="s">
        <v>42</v>
      </c>
      <c r="C11" s="75">
        <v>41</v>
      </c>
      <c r="D11" s="75">
        <v>7</v>
      </c>
      <c r="E11" s="75">
        <v>75000</v>
      </c>
      <c r="F11" s="75">
        <v>78000</v>
      </c>
      <c r="G11" s="84">
        <v>710</v>
      </c>
      <c r="H11" s="77" t="s">
        <v>100</v>
      </c>
      <c r="K11" s="121" t="s">
        <v>133</v>
      </c>
      <c r="L11" s="121">
        <v>37.4</v>
      </c>
      <c r="M11" s="121">
        <v>5.95</v>
      </c>
      <c r="N11" s="121">
        <v>66250</v>
      </c>
      <c r="O11" s="121">
        <v>70450</v>
      </c>
      <c r="P11" s="89"/>
      <c r="Y11" s="98" t="s">
        <v>160</v>
      </c>
      <c r="Z11" s="98"/>
      <c r="AA11" s="98"/>
      <c r="AE11" s="89"/>
      <c r="AH11" s="94">
        <v>27</v>
      </c>
      <c r="AI11" s="94">
        <v>3</v>
      </c>
      <c r="AJ11" s="94">
        <v>60002</v>
      </c>
      <c r="AK11" s="94">
        <v>20000.666666666668</v>
      </c>
      <c r="AL11" s="94">
        <v>399960001.33333337</v>
      </c>
      <c r="AN11" s="113"/>
      <c r="AO11" s="113"/>
      <c r="AP11" s="113"/>
      <c r="AQ11" s="89"/>
      <c r="AR11" s="89"/>
      <c r="AS11" s="89"/>
      <c r="AT11" s="89"/>
      <c r="AU11" s="89"/>
      <c r="AV11" s="89"/>
      <c r="AW11" s="89"/>
      <c r="AX11" s="89"/>
    </row>
    <row r="12" spans="1:50" ht="23.25" customHeight="1" x14ac:dyDescent="0.45">
      <c r="A12" s="78" t="s">
        <v>112</v>
      </c>
      <c r="B12" s="78" t="s">
        <v>40</v>
      </c>
      <c r="C12" s="75">
        <v>30</v>
      </c>
      <c r="D12" s="75">
        <v>4</v>
      </c>
      <c r="E12" s="75">
        <v>35000</v>
      </c>
      <c r="F12" s="75">
        <v>50000</v>
      </c>
      <c r="G12" s="84">
        <v>600</v>
      </c>
      <c r="H12" s="77" t="s">
        <v>102</v>
      </c>
      <c r="K12" s="121" t="s">
        <v>134</v>
      </c>
      <c r="L12" s="121">
        <v>1.5566495735189856</v>
      </c>
      <c r="M12" s="121">
        <v>0.48922602676386506</v>
      </c>
      <c r="N12" s="121">
        <v>7086.2635837899343</v>
      </c>
      <c r="O12" s="121">
        <v>4741.4604678749611</v>
      </c>
      <c r="P12" s="89"/>
      <c r="Q12" t="s">
        <v>151</v>
      </c>
      <c r="Y12" s="101" t="s">
        <v>144</v>
      </c>
      <c r="Z12" s="102">
        <v>20</v>
      </c>
      <c r="AA12" s="102">
        <v>20</v>
      </c>
      <c r="AB12" s="68">
        <v>20</v>
      </c>
      <c r="AC12" s="69">
        <v>20</v>
      </c>
      <c r="AE12" s="89"/>
      <c r="AH12" s="94">
        <v>38</v>
      </c>
      <c r="AI12" s="94">
        <v>3</v>
      </c>
      <c r="AJ12" s="94">
        <v>225006</v>
      </c>
      <c r="AK12" s="94">
        <v>75002</v>
      </c>
      <c r="AL12" s="94">
        <v>4274550012</v>
      </c>
      <c r="AN12" s="113"/>
      <c r="AO12" s="113"/>
      <c r="AP12" s="113"/>
      <c r="AQ12" s="89"/>
      <c r="AR12" s="95"/>
      <c r="AS12" s="95"/>
      <c r="AT12" s="95"/>
      <c r="AU12" s="95"/>
      <c r="AV12" s="95"/>
      <c r="AW12" s="95"/>
      <c r="AX12" s="95"/>
    </row>
    <row r="13" spans="1:50" ht="23.25" customHeight="1" x14ac:dyDescent="0.45">
      <c r="A13" s="78" t="s">
        <v>113</v>
      </c>
      <c r="B13" s="78" t="s">
        <v>42</v>
      </c>
      <c r="C13" s="75">
        <v>46</v>
      </c>
      <c r="D13" s="75">
        <v>9</v>
      </c>
      <c r="E13" s="75">
        <v>110000</v>
      </c>
      <c r="F13" s="75">
        <v>98000</v>
      </c>
      <c r="G13" s="84">
        <v>740</v>
      </c>
      <c r="H13" s="77" t="s">
        <v>104</v>
      </c>
      <c r="K13" s="121" t="s">
        <v>135</v>
      </c>
      <c r="L13" s="121">
        <v>37</v>
      </c>
      <c r="M13" s="121">
        <v>6</v>
      </c>
      <c r="N13" s="121">
        <v>62500</v>
      </c>
      <c r="O13" s="121">
        <v>68500</v>
      </c>
      <c r="P13" s="89"/>
      <c r="Q13" s="85" t="s">
        <v>152</v>
      </c>
      <c r="R13" s="82" t="s">
        <v>153</v>
      </c>
      <c r="S13" s="82" t="s">
        <v>154</v>
      </c>
      <c r="T13" s="82" t="s">
        <v>155</v>
      </c>
      <c r="U13" s="82" t="s">
        <v>11</v>
      </c>
      <c r="V13" s="82" t="s">
        <v>156</v>
      </c>
      <c r="W13" s="86" t="s">
        <v>157</v>
      </c>
      <c r="Y13" s="87" t="s">
        <v>143</v>
      </c>
      <c r="Z13" s="80">
        <v>748</v>
      </c>
      <c r="AA13" s="80">
        <v>119</v>
      </c>
      <c r="AB13" s="89">
        <v>1325000</v>
      </c>
      <c r="AC13" s="70">
        <v>1409000</v>
      </c>
      <c r="AE13" s="89"/>
      <c r="AH13" s="94">
        <v>33</v>
      </c>
      <c r="AI13" s="94">
        <v>3</v>
      </c>
      <c r="AJ13" s="94">
        <v>117005</v>
      </c>
      <c r="AK13" s="94">
        <v>39001.666666666664</v>
      </c>
      <c r="AL13" s="94">
        <v>1152805008.3333335</v>
      </c>
      <c r="AN13" s="89"/>
      <c r="AO13" s="89"/>
      <c r="AP13" s="89"/>
      <c r="AQ13" s="89"/>
      <c r="AR13" s="80"/>
      <c r="AS13" s="80"/>
      <c r="AT13" s="80"/>
      <c r="AU13" s="80"/>
      <c r="AV13" s="80"/>
      <c r="AW13" s="80"/>
      <c r="AX13" s="80"/>
    </row>
    <row r="14" spans="1:50" ht="23.25" customHeight="1" x14ac:dyDescent="0.45">
      <c r="A14" s="78" t="s">
        <v>114</v>
      </c>
      <c r="B14" s="78" t="s">
        <v>40</v>
      </c>
      <c r="C14" s="75">
        <v>28</v>
      </c>
      <c r="D14" s="75">
        <v>3</v>
      </c>
      <c r="E14" s="75">
        <v>25000</v>
      </c>
      <c r="F14" s="75">
        <v>42000</v>
      </c>
      <c r="G14" s="84" t="s">
        <v>131</v>
      </c>
      <c r="H14" s="77" t="s">
        <v>106</v>
      </c>
      <c r="K14" s="121" t="s">
        <v>136</v>
      </c>
      <c r="L14" s="121" t="e">
        <v>#N/A</v>
      </c>
      <c r="M14" s="121">
        <v>5</v>
      </c>
      <c r="N14" s="121" t="e">
        <v>#N/A</v>
      </c>
      <c r="O14" s="121" t="e">
        <v>#N/A</v>
      </c>
      <c r="P14" s="89"/>
      <c r="Q14" s="87" t="s">
        <v>158</v>
      </c>
      <c r="R14" s="80">
        <v>93551609837.137421</v>
      </c>
      <c r="S14" s="80">
        <v>3</v>
      </c>
      <c r="T14" s="80">
        <v>31183869945.712475</v>
      </c>
      <c r="U14" s="80">
        <v>85.791846755774628</v>
      </c>
      <c r="V14" s="80">
        <v>2.4630992703168727E-24</v>
      </c>
      <c r="W14" s="88">
        <v>2.7249439202759191</v>
      </c>
      <c r="Y14" s="87" t="s">
        <v>149</v>
      </c>
      <c r="Z14" s="80">
        <v>37.4</v>
      </c>
      <c r="AA14" s="80">
        <v>5.95</v>
      </c>
      <c r="AB14" s="89">
        <v>66250</v>
      </c>
      <c r="AC14" s="70">
        <v>70450</v>
      </c>
      <c r="AE14" s="89"/>
      <c r="AH14" s="94">
        <v>41</v>
      </c>
      <c r="AI14" s="94">
        <v>3</v>
      </c>
      <c r="AJ14" s="94">
        <v>153007</v>
      </c>
      <c r="AK14" s="94">
        <v>51002.333333333336</v>
      </c>
      <c r="AL14" s="94">
        <v>1952643016.3333335</v>
      </c>
      <c r="AN14" s="89"/>
      <c r="AO14" s="89"/>
      <c r="AP14" s="89"/>
      <c r="AQ14" s="89"/>
      <c r="AR14" s="80"/>
      <c r="AS14" s="80"/>
      <c r="AT14" s="80"/>
      <c r="AU14" s="80"/>
      <c r="AV14" s="80"/>
      <c r="AW14" s="80"/>
      <c r="AX14" s="80"/>
    </row>
    <row r="15" spans="1:50" ht="23.25" customHeight="1" x14ac:dyDescent="0.45">
      <c r="A15" s="78" t="s">
        <v>115</v>
      </c>
      <c r="B15" s="78" t="s">
        <v>42</v>
      </c>
      <c r="C15" s="75">
        <v>39</v>
      </c>
      <c r="D15" s="75">
        <v>6</v>
      </c>
      <c r="E15" s="75">
        <v>60000</v>
      </c>
      <c r="F15" s="75">
        <v>70000</v>
      </c>
      <c r="G15" s="84">
        <v>680</v>
      </c>
      <c r="H15" s="77" t="s">
        <v>108</v>
      </c>
      <c r="K15" s="121" t="s">
        <v>137</v>
      </c>
      <c r="L15" s="121">
        <v>6.9615485270690174</v>
      </c>
      <c r="M15" s="121">
        <v>2.1878853044122675</v>
      </c>
      <c r="N15" s="121">
        <v>31690.734159671141</v>
      </c>
      <c r="O15" s="121">
        <v>21204.455837592745</v>
      </c>
      <c r="P15" s="89"/>
      <c r="Q15" s="87" t="s">
        <v>159</v>
      </c>
      <c r="R15" s="80">
        <v>27624701011.75</v>
      </c>
      <c r="S15" s="80">
        <v>76</v>
      </c>
      <c r="T15" s="80">
        <v>363482908.0493421</v>
      </c>
      <c r="U15" s="80"/>
      <c r="V15" s="80"/>
      <c r="W15" s="88"/>
      <c r="Y15" s="90" t="s">
        <v>150</v>
      </c>
      <c r="Z15" s="91">
        <v>48.463157894736803</v>
      </c>
      <c r="AA15" s="91">
        <v>4.78684210526316</v>
      </c>
      <c r="AB15" s="71">
        <v>1004302631.5789474</v>
      </c>
      <c r="AC15" s="72">
        <v>449628947.36842108</v>
      </c>
      <c r="AE15" s="89"/>
      <c r="AH15" s="94">
        <v>30</v>
      </c>
      <c r="AI15" s="94">
        <v>3</v>
      </c>
      <c r="AJ15" s="94">
        <v>85004</v>
      </c>
      <c r="AK15" s="94">
        <v>28334.666666666668</v>
      </c>
      <c r="AL15" s="94">
        <v>658220005.33333325</v>
      </c>
      <c r="AN15" s="89"/>
      <c r="AO15" s="89"/>
      <c r="AP15" s="89"/>
      <c r="AQ15" s="89"/>
      <c r="AR15" s="80"/>
      <c r="AS15" s="80"/>
      <c r="AT15" s="80"/>
      <c r="AU15" s="80"/>
      <c r="AV15" s="80"/>
      <c r="AW15" s="80"/>
      <c r="AX15" s="80"/>
    </row>
    <row r="16" spans="1:50" ht="23.25" customHeight="1" x14ac:dyDescent="0.45">
      <c r="A16" s="78" t="s">
        <v>116</v>
      </c>
      <c r="B16" s="78" t="s">
        <v>40</v>
      </c>
      <c r="C16" s="75">
        <v>44</v>
      </c>
      <c r="D16" s="75">
        <v>8</v>
      </c>
      <c r="E16" s="75">
        <v>85000</v>
      </c>
      <c r="F16" s="75">
        <v>88000</v>
      </c>
      <c r="G16" s="84">
        <v>720</v>
      </c>
      <c r="H16" s="77" t="s">
        <v>96</v>
      </c>
      <c r="K16" s="121" t="s">
        <v>138</v>
      </c>
      <c r="L16" s="121">
        <v>48.463157894736803</v>
      </c>
      <c r="M16" s="121">
        <v>4.78684210526316</v>
      </c>
      <c r="N16" s="121">
        <v>1004302631.5789474</v>
      </c>
      <c r="O16" s="121">
        <v>449628947.36842108</v>
      </c>
      <c r="P16" s="89"/>
      <c r="Q16" s="87"/>
      <c r="R16" s="80"/>
      <c r="S16" s="80"/>
      <c r="T16" s="80"/>
      <c r="U16" s="80"/>
      <c r="V16" s="80"/>
      <c r="W16" s="88"/>
      <c r="Y16" s="80"/>
      <c r="Z16" s="80"/>
      <c r="AA16" s="80"/>
      <c r="AE16" s="89"/>
      <c r="AH16" s="94">
        <v>46</v>
      </c>
      <c r="AI16" s="94">
        <v>3</v>
      </c>
      <c r="AJ16" s="94">
        <v>208009</v>
      </c>
      <c r="AK16" s="94">
        <v>69336.333333333328</v>
      </c>
      <c r="AL16" s="94">
        <v>3640709360.333333</v>
      </c>
      <c r="AN16" s="89"/>
      <c r="AO16" s="89"/>
      <c r="AP16" s="89"/>
      <c r="AQ16" s="89"/>
      <c r="AR16" s="80"/>
      <c r="AS16" s="80"/>
      <c r="AT16" s="80"/>
      <c r="AU16" s="80"/>
      <c r="AV16" s="80"/>
      <c r="AW16" s="80"/>
      <c r="AX16" s="80"/>
    </row>
    <row r="17" spans="1:50" ht="23.25" customHeight="1" x14ac:dyDescent="0.45">
      <c r="A17" s="78" t="s">
        <v>117</v>
      </c>
      <c r="B17" s="78" t="s">
        <v>42</v>
      </c>
      <c r="C17" s="75">
        <v>32</v>
      </c>
      <c r="D17" s="75">
        <v>5</v>
      </c>
      <c r="E17" s="75">
        <v>45000</v>
      </c>
      <c r="F17" s="75">
        <v>53000</v>
      </c>
      <c r="G17" s="84">
        <v>590</v>
      </c>
      <c r="H17" s="77" t="s">
        <v>98</v>
      </c>
      <c r="K17" s="121" t="s">
        <v>139</v>
      </c>
      <c r="L17" s="121">
        <v>-1.086050718886364</v>
      </c>
      <c r="M17" s="121">
        <v>-0.67608850990375169</v>
      </c>
      <c r="N17" s="121">
        <v>-0.58112478133189249</v>
      </c>
      <c r="O17" s="121">
        <v>-0.92560662379911429</v>
      </c>
      <c r="P17" s="89"/>
      <c r="Q17" s="90" t="s">
        <v>160</v>
      </c>
      <c r="R17" s="91">
        <v>121176310848.88742</v>
      </c>
      <c r="S17" s="91">
        <v>79</v>
      </c>
      <c r="T17" s="91"/>
      <c r="U17" s="91"/>
      <c r="V17" s="91"/>
      <c r="W17" s="92"/>
      <c r="AE17" s="89"/>
      <c r="AH17" s="94">
        <v>28</v>
      </c>
      <c r="AI17" s="94">
        <v>3</v>
      </c>
      <c r="AJ17" s="94">
        <v>67003</v>
      </c>
      <c r="AK17" s="94">
        <v>22334.333333333332</v>
      </c>
      <c r="AL17" s="94">
        <v>446266336.33333337</v>
      </c>
    </row>
    <row r="18" spans="1:50" ht="23.25" customHeight="1" x14ac:dyDescent="0.45">
      <c r="A18" s="78" t="s">
        <v>118</v>
      </c>
      <c r="B18" s="78" t="s">
        <v>40</v>
      </c>
      <c r="C18" s="75">
        <v>36</v>
      </c>
      <c r="D18" s="75">
        <v>6</v>
      </c>
      <c r="E18" s="75">
        <v>65000</v>
      </c>
      <c r="F18" s="75">
        <v>67000</v>
      </c>
      <c r="G18" s="84">
        <v>660</v>
      </c>
      <c r="H18" s="77" t="s">
        <v>100</v>
      </c>
      <c r="K18" s="121" t="s">
        <v>140</v>
      </c>
      <c r="L18" s="121">
        <v>0.20900043861930406</v>
      </c>
      <c r="M18" s="121">
        <v>7.0607213033863886E-2</v>
      </c>
      <c r="N18" s="121">
        <v>0.49694580483797635</v>
      </c>
      <c r="O18" s="121">
        <v>0.34586824256750687</v>
      </c>
      <c r="P18" s="89"/>
      <c r="Q18" s="96"/>
      <c r="R18" s="89"/>
      <c r="Y18" s="89" t="s">
        <v>151</v>
      </c>
      <c r="AE18" s="89"/>
      <c r="AH18" s="94">
        <v>39</v>
      </c>
      <c r="AI18" s="94">
        <v>3</v>
      </c>
      <c r="AJ18" s="94">
        <v>130006</v>
      </c>
      <c r="AK18" s="94">
        <v>43335.333333333336</v>
      </c>
      <c r="AL18" s="94">
        <v>1433073345.3333335</v>
      </c>
    </row>
    <row r="19" spans="1:50" ht="23.25" customHeight="1" x14ac:dyDescent="0.45">
      <c r="A19" s="78" t="s">
        <v>119</v>
      </c>
      <c r="B19" s="78" t="s">
        <v>42</v>
      </c>
      <c r="C19" s="75">
        <v>48</v>
      </c>
      <c r="D19" s="75">
        <v>10</v>
      </c>
      <c r="E19" s="75">
        <v>130000</v>
      </c>
      <c r="F19" s="75">
        <v>110000</v>
      </c>
      <c r="G19" s="84" t="s">
        <v>132</v>
      </c>
      <c r="H19" s="77" t="s">
        <v>102</v>
      </c>
      <c r="K19" s="121" t="s">
        <v>124</v>
      </c>
      <c r="L19" s="121">
        <v>23</v>
      </c>
      <c r="M19" s="121">
        <v>8</v>
      </c>
      <c r="N19" s="121">
        <v>110000</v>
      </c>
      <c r="O19" s="121">
        <v>70000</v>
      </c>
      <c r="P19" s="89"/>
      <c r="Q19" s="96"/>
      <c r="R19" s="89"/>
      <c r="Y19" s="103" t="s">
        <v>152</v>
      </c>
      <c r="Z19" s="104" t="s">
        <v>153</v>
      </c>
      <c r="AA19" s="104" t="s">
        <v>154</v>
      </c>
      <c r="AB19" s="104" t="s">
        <v>155</v>
      </c>
      <c r="AC19" s="104" t="s">
        <v>11</v>
      </c>
      <c r="AD19" s="104" t="s">
        <v>156</v>
      </c>
      <c r="AE19" s="105" t="s">
        <v>157</v>
      </c>
      <c r="AH19" s="94">
        <v>44</v>
      </c>
      <c r="AI19" s="94">
        <v>3</v>
      </c>
      <c r="AJ19" s="94">
        <v>173008</v>
      </c>
      <c r="AK19" s="94">
        <v>57669.333333333336</v>
      </c>
      <c r="AL19" s="94">
        <v>2495872021.333333</v>
      </c>
    </row>
    <row r="20" spans="1:50" ht="23.25" customHeight="1" x14ac:dyDescent="0.45">
      <c r="A20" s="78" t="s">
        <v>120</v>
      </c>
      <c r="B20" s="78" t="s">
        <v>40</v>
      </c>
      <c r="C20" s="75">
        <v>34</v>
      </c>
      <c r="D20" s="75">
        <v>5</v>
      </c>
      <c r="E20" s="75">
        <v>48000</v>
      </c>
      <c r="F20" s="75">
        <v>58000</v>
      </c>
      <c r="G20" s="84">
        <v>620</v>
      </c>
      <c r="H20" s="77" t="s">
        <v>104</v>
      </c>
      <c r="K20" s="121" t="s">
        <v>141</v>
      </c>
      <c r="L20" s="121">
        <v>27</v>
      </c>
      <c r="M20" s="121">
        <v>2</v>
      </c>
      <c r="N20" s="121">
        <v>20000</v>
      </c>
      <c r="O20" s="121">
        <v>40000</v>
      </c>
      <c r="P20" s="89"/>
      <c r="Q20" s="96"/>
      <c r="R20" s="89"/>
      <c r="Y20" s="87" t="s">
        <v>162</v>
      </c>
      <c r="Z20" s="80">
        <v>0</v>
      </c>
      <c r="AA20" s="80">
        <v>0</v>
      </c>
      <c r="AB20" s="80">
        <v>65535</v>
      </c>
      <c r="AC20" s="80">
        <v>65535</v>
      </c>
      <c r="AD20" s="80" t="e">
        <v>#NUM!</v>
      </c>
      <c r="AE20" s="88" t="e">
        <v>#NUM!</v>
      </c>
      <c r="AH20" s="94">
        <v>32</v>
      </c>
      <c r="AI20" s="94">
        <v>3</v>
      </c>
      <c r="AJ20" s="94">
        <v>98005</v>
      </c>
      <c r="AK20" s="94">
        <v>32668.333333333332</v>
      </c>
      <c r="AL20" s="94">
        <v>816170008.33333325</v>
      </c>
    </row>
    <row r="21" spans="1:50" ht="23.25" customHeight="1" x14ac:dyDescent="0.45">
      <c r="A21" s="78" t="s">
        <v>121</v>
      </c>
      <c r="B21" s="78" t="s">
        <v>42</v>
      </c>
      <c r="C21" s="75">
        <v>40</v>
      </c>
      <c r="D21" s="75">
        <v>7</v>
      </c>
      <c r="E21" s="75">
        <v>72000</v>
      </c>
      <c r="F21" s="75">
        <v>76000</v>
      </c>
      <c r="G21" s="84">
        <v>700</v>
      </c>
      <c r="H21" s="77" t="s">
        <v>106</v>
      </c>
      <c r="K21" s="121" t="s">
        <v>142</v>
      </c>
      <c r="L21" s="121">
        <v>50</v>
      </c>
      <c r="M21" s="121">
        <v>10</v>
      </c>
      <c r="N21" s="121">
        <v>130000</v>
      </c>
      <c r="O21" s="121">
        <v>110000</v>
      </c>
      <c r="P21" s="89"/>
      <c r="Q21" s="96"/>
      <c r="R21" s="89"/>
      <c r="Y21" s="87" t="s">
        <v>163</v>
      </c>
      <c r="Z21" s="80">
        <v>93551609837.137421</v>
      </c>
      <c r="AA21" s="80">
        <v>3</v>
      </c>
      <c r="AB21" s="80">
        <v>31183869945.712475</v>
      </c>
      <c r="AC21" s="80">
        <v>85.791846755774628</v>
      </c>
      <c r="AD21" s="80">
        <v>2.4630992703168727E-24</v>
      </c>
      <c r="AE21" s="88">
        <v>2.7249439202759191</v>
      </c>
      <c r="AH21" s="94">
        <v>36</v>
      </c>
      <c r="AI21" s="94">
        <v>3</v>
      </c>
      <c r="AJ21" s="94">
        <v>132006</v>
      </c>
      <c r="AK21" s="94">
        <v>44002</v>
      </c>
      <c r="AL21" s="94">
        <v>1452736012</v>
      </c>
      <c r="AR21" s="89"/>
      <c r="AS21" s="89"/>
      <c r="AT21" s="89"/>
      <c r="AU21" s="89"/>
      <c r="AV21" s="89"/>
      <c r="AW21" s="89"/>
      <c r="AX21" s="89"/>
    </row>
    <row r="22" spans="1:50" ht="23.25" customHeight="1" x14ac:dyDescent="0.25">
      <c r="K22" s="121" t="s">
        <v>143</v>
      </c>
      <c r="L22" s="121">
        <v>748</v>
      </c>
      <c r="M22" s="121">
        <v>119</v>
      </c>
      <c r="N22" s="121">
        <v>1325000</v>
      </c>
      <c r="O22" s="121">
        <v>1409000</v>
      </c>
      <c r="P22" s="89"/>
      <c r="Q22" s="96"/>
      <c r="R22" s="89"/>
      <c r="Y22" s="87" t="s">
        <v>164</v>
      </c>
      <c r="Z22" s="80">
        <v>0</v>
      </c>
      <c r="AA22" s="80">
        <v>0</v>
      </c>
      <c r="AB22" s="80">
        <v>65535</v>
      </c>
      <c r="AC22" s="80">
        <v>65535</v>
      </c>
      <c r="AD22" s="80" t="e">
        <v>#NUM!</v>
      </c>
      <c r="AE22" s="88" t="e">
        <v>#NUM!</v>
      </c>
      <c r="AH22" s="94">
        <v>48</v>
      </c>
      <c r="AI22" s="94">
        <v>3</v>
      </c>
      <c r="AJ22" s="94">
        <v>240010</v>
      </c>
      <c r="AK22" s="94">
        <v>80003.333333333328</v>
      </c>
      <c r="AL22" s="94">
        <v>4899200033.333334</v>
      </c>
      <c r="AR22" s="89"/>
      <c r="AS22" s="89"/>
      <c r="AT22" s="89"/>
      <c r="AU22" s="89"/>
      <c r="AV22" s="89"/>
      <c r="AW22" s="89"/>
      <c r="AX22" s="89"/>
    </row>
    <row r="23" spans="1:50" ht="23.25" customHeight="1" x14ac:dyDescent="0.25">
      <c r="K23" s="121" t="s">
        <v>144</v>
      </c>
      <c r="L23" s="121">
        <v>20</v>
      </c>
      <c r="M23" s="121">
        <v>20</v>
      </c>
      <c r="N23" s="121">
        <v>20</v>
      </c>
      <c r="O23" s="121">
        <v>20</v>
      </c>
      <c r="P23" s="89"/>
      <c r="Q23" s="96"/>
      <c r="R23" s="89"/>
      <c r="Y23" s="87" t="s">
        <v>165</v>
      </c>
      <c r="Z23" s="80">
        <v>27624701011.75</v>
      </c>
      <c r="AA23" s="80">
        <v>76</v>
      </c>
      <c r="AB23" s="80">
        <v>363482908.0493421</v>
      </c>
      <c r="AC23" s="80"/>
      <c r="AD23" s="80"/>
      <c r="AE23" s="88"/>
      <c r="AH23" s="94">
        <v>34</v>
      </c>
      <c r="AI23" s="94">
        <v>3</v>
      </c>
      <c r="AJ23" s="94">
        <v>106005</v>
      </c>
      <c r="AK23" s="94">
        <v>35335</v>
      </c>
      <c r="AL23" s="94">
        <v>961156675</v>
      </c>
      <c r="AR23" s="89"/>
      <c r="AS23" s="89"/>
      <c r="AT23" s="89"/>
      <c r="AU23" s="89"/>
      <c r="AV23" s="89"/>
      <c r="AW23" s="89"/>
      <c r="AX23" s="89"/>
    </row>
    <row r="24" spans="1:50" ht="23.25" customHeight="1" x14ac:dyDescent="0.25">
      <c r="B24" s="107"/>
      <c r="C24" s="107"/>
      <c r="D24" s="107"/>
      <c r="E24" s="107"/>
      <c r="F24" s="107"/>
      <c r="G24" s="107"/>
      <c r="H24" s="107"/>
      <c r="Y24" s="87"/>
      <c r="Z24" s="80"/>
      <c r="AA24" s="80"/>
      <c r="AB24" s="80"/>
      <c r="AC24" s="80"/>
      <c r="AD24" s="80"/>
      <c r="AE24" s="88"/>
      <c r="AH24" s="94">
        <v>40</v>
      </c>
      <c r="AI24" s="94">
        <v>3</v>
      </c>
      <c r="AJ24" s="94">
        <v>148007</v>
      </c>
      <c r="AK24" s="94">
        <v>49335.666666666664</v>
      </c>
      <c r="AL24" s="94">
        <v>1828988016.3333335</v>
      </c>
      <c r="AR24" s="95"/>
      <c r="AS24" s="95"/>
      <c r="AT24" s="95"/>
      <c r="AU24" s="95"/>
      <c r="AV24" s="95"/>
      <c r="AW24" s="89"/>
      <c r="AX24" s="89"/>
    </row>
    <row r="25" spans="1:50" ht="23.25" customHeight="1" x14ac:dyDescent="0.25">
      <c r="Y25" s="90" t="s">
        <v>160</v>
      </c>
      <c r="Z25" s="91">
        <v>121176310848.88742</v>
      </c>
      <c r="AA25" s="91">
        <v>79</v>
      </c>
      <c r="AB25" s="91"/>
      <c r="AC25" s="91"/>
      <c r="AD25" s="91"/>
      <c r="AE25" s="92"/>
      <c r="AH25" s="80"/>
      <c r="AI25" s="80"/>
      <c r="AJ25" s="80"/>
      <c r="AK25" s="80"/>
      <c r="AL25" s="80"/>
      <c r="AR25" s="80"/>
      <c r="AS25" s="80"/>
      <c r="AT25" s="80"/>
      <c r="AU25" s="80"/>
      <c r="AV25" s="80"/>
      <c r="AW25" s="89"/>
      <c r="AX25" s="89"/>
    </row>
    <row r="26" spans="1:50" ht="23.25" customHeight="1" x14ac:dyDescent="0.5">
      <c r="B26" s="107"/>
      <c r="C26" s="76" t="s">
        <v>94</v>
      </c>
      <c r="D26" s="74" t="s">
        <v>93</v>
      </c>
      <c r="AH26" s="101" t="s">
        <v>32</v>
      </c>
      <c r="AI26" s="102">
        <v>20</v>
      </c>
      <c r="AJ26" s="102">
        <v>119</v>
      </c>
      <c r="AK26" s="102">
        <v>5.95</v>
      </c>
      <c r="AL26" s="106">
        <v>4.78684210526316</v>
      </c>
      <c r="AR26" s="80"/>
      <c r="AS26" s="80"/>
      <c r="AT26" s="80"/>
      <c r="AU26" s="80"/>
      <c r="AV26" s="80"/>
      <c r="AW26" s="89"/>
      <c r="AX26" s="89"/>
    </row>
    <row r="27" spans="1:50" ht="23.25" customHeight="1" x14ac:dyDescent="0.45">
      <c r="B27" s="107"/>
      <c r="C27" s="77" t="s">
        <v>96</v>
      </c>
      <c r="D27" s="75">
        <v>60000</v>
      </c>
      <c r="F27" s="109" t="s">
        <v>96</v>
      </c>
      <c r="G27" s="110" t="s">
        <v>98</v>
      </c>
      <c r="H27" s="110" t="s">
        <v>100</v>
      </c>
      <c r="I27" s="110" t="s">
        <v>102</v>
      </c>
      <c r="J27" s="110" t="s">
        <v>104</v>
      </c>
      <c r="K27" s="110" t="s">
        <v>106</v>
      </c>
      <c r="L27" s="111" t="s">
        <v>108</v>
      </c>
      <c r="AH27" s="87" t="s">
        <v>33</v>
      </c>
      <c r="AI27" s="80">
        <v>20</v>
      </c>
      <c r="AJ27" s="80">
        <v>1325000</v>
      </c>
      <c r="AK27" s="80">
        <v>66250</v>
      </c>
      <c r="AL27" s="88">
        <v>1004302631.5789474</v>
      </c>
      <c r="AR27" s="89"/>
      <c r="AS27" s="89"/>
      <c r="AT27" s="89"/>
      <c r="AU27" s="89"/>
      <c r="AV27" s="89"/>
      <c r="AW27" s="89"/>
      <c r="AX27" s="89"/>
    </row>
    <row r="28" spans="1:50" ht="23.25" customHeight="1" x14ac:dyDescent="0.45">
      <c r="B28" s="107"/>
      <c r="C28" s="77" t="s">
        <v>98</v>
      </c>
      <c r="D28" s="75">
        <v>75000</v>
      </c>
      <c r="F28" s="112">
        <v>60000</v>
      </c>
      <c r="G28" s="113">
        <v>75000</v>
      </c>
      <c r="H28" s="113">
        <v>45000</v>
      </c>
      <c r="I28" s="113">
        <v>85000</v>
      </c>
      <c r="J28" s="113">
        <v>52000</v>
      </c>
      <c r="K28" s="113">
        <v>95000</v>
      </c>
      <c r="L28" s="114">
        <v>40000</v>
      </c>
      <c r="AH28" s="90" t="s">
        <v>93</v>
      </c>
      <c r="AI28" s="91">
        <v>20</v>
      </c>
      <c r="AJ28" s="91">
        <v>1409000</v>
      </c>
      <c r="AK28" s="91">
        <v>70450</v>
      </c>
      <c r="AL28" s="92">
        <v>449628947.36842108</v>
      </c>
      <c r="AR28" s="89"/>
      <c r="AS28" s="89"/>
      <c r="AT28" s="89"/>
      <c r="AU28" s="89"/>
      <c r="AV28" s="89"/>
      <c r="AW28" s="89"/>
      <c r="AX28" s="89"/>
    </row>
    <row r="29" spans="1:50" ht="23.25" customHeight="1" x14ac:dyDescent="0.45">
      <c r="B29" s="107"/>
      <c r="C29" s="77" t="s">
        <v>100</v>
      </c>
      <c r="D29" s="75">
        <v>45000</v>
      </c>
      <c r="F29" s="112">
        <v>105000</v>
      </c>
      <c r="G29" s="113">
        <v>62000</v>
      </c>
      <c r="H29" s="113">
        <v>78000</v>
      </c>
      <c r="I29" s="113">
        <v>50000</v>
      </c>
      <c r="J29" s="113">
        <v>98000</v>
      </c>
      <c r="K29" s="113">
        <v>42000</v>
      </c>
      <c r="L29" s="114">
        <v>70000</v>
      </c>
      <c r="Y29" s="80"/>
      <c r="Z29" s="80"/>
      <c r="AA29" s="80"/>
      <c r="AB29" s="80"/>
      <c r="AC29" s="80"/>
      <c r="AD29" s="80"/>
      <c r="AR29" s="89"/>
      <c r="AS29" s="89"/>
      <c r="AT29" s="89"/>
      <c r="AU29" s="89"/>
      <c r="AV29" s="89"/>
      <c r="AW29" s="89"/>
      <c r="AX29" s="89"/>
    </row>
    <row r="30" spans="1:50" ht="23.25" customHeight="1" x14ac:dyDescent="0.45">
      <c r="B30" s="107"/>
      <c r="C30" s="77" t="s">
        <v>102</v>
      </c>
      <c r="D30" s="75">
        <v>85000</v>
      </c>
      <c r="F30" s="115">
        <v>88000</v>
      </c>
      <c r="G30" s="116">
        <v>53000</v>
      </c>
      <c r="H30" s="116">
        <v>67000</v>
      </c>
      <c r="I30" s="116">
        <v>110000</v>
      </c>
      <c r="J30" s="116">
        <v>58000</v>
      </c>
      <c r="K30" s="116">
        <v>76000</v>
      </c>
      <c r="L30" s="117"/>
      <c r="Y30" s="80"/>
      <c r="Z30" s="80"/>
      <c r="AA30" s="80"/>
      <c r="AB30" s="80"/>
      <c r="AC30" s="80"/>
      <c r="AD30" s="80"/>
      <c r="AR30" s="89"/>
      <c r="AS30" s="89"/>
      <c r="AT30" s="89"/>
      <c r="AU30" s="89"/>
      <c r="AV30" s="89"/>
      <c r="AW30" s="89"/>
      <c r="AX30" s="89"/>
    </row>
    <row r="31" spans="1:50" ht="23.25" customHeight="1" x14ac:dyDescent="0.45">
      <c r="B31" s="107"/>
      <c r="C31" s="77" t="s">
        <v>104</v>
      </c>
      <c r="D31" s="75">
        <v>52000</v>
      </c>
      <c r="Y31" s="80"/>
      <c r="Z31" s="80"/>
      <c r="AA31" s="80"/>
      <c r="AB31" s="80"/>
      <c r="AC31" s="80"/>
      <c r="AD31" s="80"/>
      <c r="AH31" t="s">
        <v>151</v>
      </c>
      <c r="AR31" s="89"/>
      <c r="AS31" s="89"/>
      <c r="AT31" s="89"/>
      <c r="AU31" s="89"/>
      <c r="AV31" s="89"/>
      <c r="AW31" s="89"/>
      <c r="AX31" s="89"/>
    </row>
    <row r="32" spans="1:50" ht="23.25" customHeight="1" x14ac:dyDescent="0.45">
      <c r="B32" s="107"/>
      <c r="C32" s="77" t="s">
        <v>106</v>
      </c>
      <c r="D32" s="75">
        <v>95000</v>
      </c>
      <c r="Y32" s="98"/>
      <c r="Z32" s="98"/>
      <c r="AA32" s="98"/>
      <c r="AB32" s="98"/>
      <c r="AC32" s="98"/>
      <c r="AD32" s="98"/>
      <c r="AH32" s="85" t="s">
        <v>152</v>
      </c>
      <c r="AI32" s="82" t="s">
        <v>153</v>
      </c>
      <c r="AJ32" s="82" t="s">
        <v>154</v>
      </c>
      <c r="AK32" s="82" t="s">
        <v>155</v>
      </c>
      <c r="AL32" s="82" t="s">
        <v>11</v>
      </c>
      <c r="AM32" s="82" t="s">
        <v>156</v>
      </c>
      <c r="AN32" s="86" t="s">
        <v>157</v>
      </c>
      <c r="AR32" s="89"/>
      <c r="AS32" s="89"/>
      <c r="AT32" s="89"/>
      <c r="AU32" s="89"/>
      <c r="AV32" s="89"/>
      <c r="AW32" s="89"/>
      <c r="AX32" s="89"/>
    </row>
    <row r="33" spans="3:50" ht="23.25" customHeight="1" x14ac:dyDescent="0.45">
      <c r="C33" s="77" t="s">
        <v>108</v>
      </c>
      <c r="D33" s="75">
        <v>40000</v>
      </c>
      <c r="F33" t="s">
        <v>146</v>
      </c>
      <c r="Y33" s="80"/>
      <c r="Z33" s="80"/>
      <c r="AA33" s="80"/>
      <c r="AB33" s="80"/>
      <c r="AC33" s="80"/>
      <c r="AD33" s="80"/>
      <c r="AH33" s="87" t="s">
        <v>167</v>
      </c>
      <c r="AI33" s="80">
        <v>17676051163.649994</v>
      </c>
      <c r="AJ33" s="80">
        <v>19</v>
      </c>
      <c r="AK33" s="80">
        <v>930318482.29736805</v>
      </c>
      <c r="AL33" s="80">
        <v>3.5534576187818412</v>
      </c>
      <c r="AM33" s="80">
        <v>4.3081528597469941E-4</v>
      </c>
      <c r="AN33" s="88">
        <v>1.8673319547021467</v>
      </c>
      <c r="AR33" s="89"/>
      <c r="AS33" s="89"/>
      <c r="AT33" s="89"/>
      <c r="AU33" s="89"/>
      <c r="AV33" s="89"/>
      <c r="AW33" s="89"/>
      <c r="AX33" s="89"/>
    </row>
    <row r="34" spans="3:50" ht="23.25" customHeight="1" x14ac:dyDescent="0.45">
      <c r="C34" s="77" t="s">
        <v>96</v>
      </c>
      <c r="D34" s="75">
        <v>105000</v>
      </c>
      <c r="Y34" s="80"/>
      <c r="Z34" s="80"/>
      <c r="AA34" s="80"/>
      <c r="AB34" s="80"/>
      <c r="AC34" s="80"/>
      <c r="AD34" s="80"/>
      <c r="AH34" s="87" t="s">
        <v>163</v>
      </c>
      <c r="AI34" s="80">
        <v>62455188938.699982</v>
      </c>
      <c r="AJ34" s="80">
        <v>2</v>
      </c>
      <c r="AK34" s="80">
        <v>31227594469.349991</v>
      </c>
      <c r="AL34" s="80">
        <v>119.27736102728757</v>
      </c>
      <c r="AM34" s="80">
        <v>4.1883970856506482E-17</v>
      </c>
      <c r="AN34" s="88">
        <v>3.2448183607328067</v>
      </c>
      <c r="AR34" s="89"/>
      <c r="AS34" s="89"/>
      <c r="AT34" s="89"/>
      <c r="AU34" s="89"/>
      <c r="AV34" s="89"/>
      <c r="AW34" s="89"/>
      <c r="AX34" s="89"/>
    </row>
    <row r="35" spans="3:50" ht="23.25" customHeight="1" thickBot="1" x14ac:dyDescent="0.5">
      <c r="C35" s="77" t="s">
        <v>98</v>
      </c>
      <c r="D35" s="75">
        <v>62000</v>
      </c>
      <c r="F35" t="s">
        <v>147</v>
      </c>
      <c r="Y35" s="80"/>
      <c r="Z35" s="80"/>
      <c r="AA35" s="80"/>
      <c r="AB35" s="80"/>
      <c r="AC35" s="80"/>
      <c r="AD35" s="80"/>
      <c r="AH35" s="87" t="s">
        <v>168</v>
      </c>
      <c r="AI35" s="80">
        <v>9948648927.3000031</v>
      </c>
      <c r="AJ35" s="80">
        <v>38</v>
      </c>
      <c r="AK35" s="80">
        <v>261806550.71842113</v>
      </c>
      <c r="AL35" s="80"/>
      <c r="AM35" s="80"/>
      <c r="AN35" s="88"/>
    </row>
    <row r="36" spans="3:50" ht="23.25" customHeight="1" x14ac:dyDescent="0.45">
      <c r="C36" s="77" t="s">
        <v>100</v>
      </c>
      <c r="D36" s="75">
        <v>78000</v>
      </c>
      <c r="F36" s="83" t="s">
        <v>148</v>
      </c>
      <c r="G36" s="83" t="s">
        <v>144</v>
      </c>
      <c r="H36" s="83" t="s">
        <v>143</v>
      </c>
      <c r="I36" s="83" t="s">
        <v>149</v>
      </c>
      <c r="J36" s="83" t="s">
        <v>150</v>
      </c>
      <c r="Y36" s="80"/>
      <c r="Z36" s="80"/>
      <c r="AA36" s="80"/>
      <c r="AB36" s="80"/>
      <c r="AC36" s="80"/>
      <c r="AD36" s="80"/>
      <c r="AH36" s="87"/>
      <c r="AI36" s="80"/>
      <c r="AJ36" s="80"/>
      <c r="AK36" s="80"/>
      <c r="AL36" s="80"/>
      <c r="AM36" s="80"/>
      <c r="AN36" s="88"/>
    </row>
    <row r="37" spans="3:50" ht="23.25" customHeight="1" x14ac:dyDescent="0.45">
      <c r="C37" s="77" t="s">
        <v>102</v>
      </c>
      <c r="D37" s="75">
        <v>50000</v>
      </c>
      <c r="F37" s="80" t="s">
        <v>96</v>
      </c>
      <c r="G37" s="80">
        <v>3</v>
      </c>
      <c r="H37" s="80">
        <v>253000</v>
      </c>
      <c r="I37" s="80">
        <v>84333.333333333328</v>
      </c>
      <c r="J37" s="80">
        <v>516333333.33333397</v>
      </c>
      <c r="Y37" s="80"/>
      <c r="Z37" s="80"/>
      <c r="AA37" s="80"/>
      <c r="AB37" s="80"/>
      <c r="AC37" s="80"/>
      <c r="AD37" s="80"/>
      <c r="AH37" s="90" t="s">
        <v>160</v>
      </c>
      <c r="AI37" s="91">
        <v>90079889029.649979</v>
      </c>
      <c r="AJ37" s="91">
        <v>59</v>
      </c>
      <c r="AK37" s="91"/>
      <c r="AL37" s="91"/>
      <c r="AM37" s="91"/>
      <c r="AN37" s="92"/>
    </row>
    <row r="38" spans="3:50" ht="24.75" x14ac:dyDescent="0.45">
      <c r="C38" s="77" t="s">
        <v>104</v>
      </c>
      <c r="D38" s="75">
        <v>98000</v>
      </c>
      <c r="F38" s="80" t="s">
        <v>98</v>
      </c>
      <c r="G38" s="80">
        <v>3</v>
      </c>
      <c r="H38" s="80">
        <v>190000</v>
      </c>
      <c r="I38" s="80">
        <v>63333.333333333336</v>
      </c>
      <c r="J38" s="80">
        <v>122333333.33333302</v>
      </c>
      <c r="Y38" s="98"/>
      <c r="Z38" s="98"/>
      <c r="AA38" s="98"/>
      <c r="AB38" s="98"/>
      <c r="AC38" s="98"/>
      <c r="AD38" s="98"/>
    </row>
    <row r="39" spans="3:50" ht="24.75" x14ac:dyDescent="0.45">
      <c r="C39" s="77" t="s">
        <v>106</v>
      </c>
      <c r="D39" s="75">
        <v>42000</v>
      </c>
      <c r="F39" s="80" t="s">
        <v>100</v>
      </c>
      <c r="G39" s="80">
        <v>3</v>
      </c>
      <c r="H39" s="80">
        <v>190000</v>
      </c>
      <c r="I39" s="80">
        <v>63333.333333333336</v>
      </c>
      <c r="J39" s="80">
        <v>282333333.33333302</v>
      </c>
      <c r="Y39" s="80"/>
      <c r="Z39" s="80"/>
      <c r="AA39" s="80"/>
      <c r="AB39" s="80"/>
      <c r="AC39" s="80"/>
      <c r="AD39" s="80"/>
    </row>
    <row r="40" spans="3:50" ht="24.75" x14ac:dyDescent="0.45">
      <c r="C40" s="77" t="s">
        <v>108</v>
      </c>
      <c r="D40" s="75">
        <v>70000</v>
      </c>
      <c r="F40" s="80" t="s">
        <v>102</v>
      </c>
      <c r="G40" s="80">
        <v>3</v>
      </c>
      <c r="H40" s="80">
        <v>245000</v>
      </c>
      <c r="I40" s="80">
        <v>81666.666666666672</v>
      </c>
      <c r="J40" s="80">
        <v>908333333.33333397</v>
      </c>
      <c r="Y40" s="80"/>
      <c r="Z40" s="80"/>
      <c r="AA40" s="80"/>
      <c r="AB40" s="80"/>
      <c r="AC40" s="80"/>
      <c r="AD40" s="80"/>
    </row>
    <row r="41" spans="3:50" ht="24.75" x14ac:dyDescent="0.45">
      <c r="C41" s="77" t="s">
        <v>96</v>
      </c>
      <c r="D41" s="75">
        <v>88000</v>
      </c>
      <c r="F41" s="80" t="s">
        <v>104</v>
      </c>
      <c r="G41" s="80">
        <v>3</v>
      </c>
      <c r="H41" s="80">
        <v>208000</v>
      </c>
      <c r="I41" s="80">
        <v>69333.333333333328</v>
      </c>
      <c r="J41" s="80">
        <v>625333333.33333302</v>
      </c>
      <c r="Y41" s="80"/>
      <c r="Z41" s="80"/>
      <c r="AA41" s="80"/>
      <c r="AB41" s="80"/>
      <c r="AC41" s="80"/>
      <c r="AD41" s="80"/>
    </row>
    <row r="42" spans="3:50" ht="24.75" x14ac:dyDescent="0.45">
      <c r="C42" s="77" t="s">
        <v>98</v>
      </c>
      <c r="D42" s="75">
        <v>53000</v>
      </c>
      <c r="F42" s="80" t="s">
        <v>106</v>
      </c>
      <c r="G42" s="80">
        <v>3</v>
      </c>
      <c r="H42" s="80">
        <v>213000</v>
      </c>
      <c r="I42" s="80">
        <v>71000</v>
      </c>
      <c r="J42" s="80">
        <v>721000000</v>
      </c>
      <c r="Y42" s="80"/>
      <c r="Z42" s="80"/>
      <c r="AA42" s="80"/>
      <c r="AB42" s="80"/>
      <c r="AC42" s="80"/>
      <c r="AD42" s="80"/>
    </row>
    <row r="43" spans="3:50" ht="25.5" thickBot="1" x14ac:dyDescent="0.5">
      <c r="C43" s="77" t="s">
        <v>100</v>
      </c>
      <c r="D43" s="75">
        <v>67000</v>
      </c>
      <c r="F43" s="81" t="s">
        <v>108</v>
      </c>
      <c r="G43" s="81">
        <v>2</v>
      </c>
      <c r="H43" s="81">
        <v>110000</v>
      </c>
      <c r="I43" s="81">
        <v>55000</v>
      </c>
      <c r="J43" s="81">
        <v>450000000</v>
      </c>
      <c r="Y43" s="80"/>
      <c r="Z43" s="80"/>
      <c r="AA43" s="80"/>
      <c r="AB43" s="80"/>
      <c r="AC43" s="80"/>
      <c r="AD43" s="80"/>
    </row>
    <row r="44" spans="3:50" ht="24.75" x14ac:dyDescent="0.45">
      <c r="C44" s="77" t="s">
        <v>102</v>
      </c>
      <c r="D44" s="75">
        <v>110000</v>
      </c>
      <c r="Y44" s="98"/>
      <c r="Z44" s="98"/>
      <c r="AA44" s="98"/>
      <c r="AB44" s="98"/>
      <c r="AC44" s="98"/>
      <c r="AD44" s="98"/>
    </row>
    <row r="45" spans="3:50" ht="24.75" x14ac:dyDescent="0.45">
      <c r="C45" s="77" t="s">
        <v>104</v>
      </c>
      <c r="D45" s="75">
        <v>58000</v>
      </c>
      <c r="Y45" s="80"/>
      <c r="Z45" s="80"/>
      <c r="AA45" s="80"/>
      <c r="AB45" s="80"/>
      <c r="AC45" s="80"/>
      <c r="AD45" s="80"/>
    </row>
    <row r="46" spans="3:50" ht="25.5" thickBot="1" x14ac:dyDescent="0.5">
      <c r="C46" s="77" t="s">
        <v>106</v>
      </c>
      <c r="D46" s="75">
        <v>76000</v>
      </c>
      <c r="F46" t="s">
        <v>151</v>
      </c>
      <c r="Y46" s="80"/>
      <c r="Z46" s="80"/>
      <c r="AA46" s="80"/>
      <c r="AB46" s="80"/>
      <c r="AC46" s="80"/>
      <c r="AD46" s="80"/>
    </row>
    <row r="47" spans="3:50" x14ac:dyDescent="0.25">
      <c r="F47" s="83" t="s">
        <v>152</v>
      </c>
      <c r="G47" s="83" t="s">
        <v>153</v>
      </c>
      <c r="H47" s="83" t="s">
        <v>154</v>
      </c>
      <c r="I47" s="83" t="s">
        <v>155</v>
      </c>
      <c r="J47" s="83" t="s">
        <v>11</v>
      </c>
      <c r="K47" s="83" t="s">
        <v>156</v>
      </c>
      <c r="L47" s="83" t="s">
        <v>157</v>
      </c>
      <c r="Y47" s="80"/>
      <c r="Z47" s="80"/>
      <c r="AA47" s="80"/>
      <c r="AB47" s="80"/>
      <c r="AC47" s="80"/>
      <c r="AD47" s="80"/>
    </row>
    <row r="48" spans="3:50" x14ac:dyDescent="0.25">
      <c r="F48" s="80" t="s">
        <v>158</v>
      </c>
      <c r="G48" s="80">
        <v>1741616666.666666</v>
      </c>
      <c r="H48" s="80">
        <v>6</v>
      </c>
      <c r="I48" s="80">
        <v>290269444.44444436</v>
      </c>
      <c r="J48" s="80">
        <v>0.55481809122394277</v>
      </c>
      <c r="K48" s="80">
        <v>0.75843927298948344</v>
      </c>
      <c r="L48" s="80">
        <v>2.9152692387027517</v>
      </c>
      <c r="Y48" s="80"/>
      <c r="Z48" s="80"/>
      <c r="AA48" s="80"/>
      <c r="AB48" s="80"/>
      <c r="AC48" s="80"/>
      <c r="AD48" s="80"/>
    </row>
    <row r="49" spans="6:30" x14ac:dyDescent="0.25">
      <c r="F49" s="80" t="s">
        <v>159</v>
      </c>
      <c r="G49" s="80">
        <v>6801333333.333334</v>
      </c>
      <c r="H49" s="80">
        <v>13</v>
      </c>
      <c r="I49" s="80">
        <v>523179487.17948723</v>
      </c>
      <c r="J49" s="80"/>
      <c r="K49" s="80"/>
      <c r="L49" s="80"/>
      <c r="Y49" s="80"/>
      <c r="Z49" s="80"/>
      <c r="AA49" s="80"/>
      <c r="AB49" s="80"/>
      <c r="AC49" s="80"/>
      <c r="AD49" s="80"/>
    </row>
    <row r="50" spans="6:30" x14ac:dyDescent="0.25">
      <c r="F50" s="80"/>
      <c r="G50" s="80"/>
      <c r="H50" s="80"/>
      <c r="I50" s="80"/>
      <c r="J50" s="80"/>
      <c r="K50" s="80"/>
      <c r="L50" s="80"/>
      <c r="Y50" s="98"/>
      <c r="Z50" s="98"/>
      <c r="AA50" s="98"/>
      <c r="AB50" s="98"/>
      <c r="AC50" s="98"/>
      <c r="AD50" s="98"/>
    </row>
    <row r="51" spans="6:30" ht="15.75" thickBot="1" x14ac:dyDescent="0.3">
      <c r="F51" s="81" t="s">
        <v>160</v>
      </c>
      <c r="G51" s="81">
        <v>8542950000</v>
      </c>
      <c r="H51" s="81">
        <v>19</v>
      </c>
      <c r="I51" s="81"/>
      <c r="J51" s="81"/>
      <c r="K51" s="81"/>
      <c r="L51" s="81"/>
      <c r="Y51" s="80"/>
      <c r="Z51" s="80"/>
      <c r="AA51" s="80"/>
      <c r="AB51" s="80"/>
      <c r="AC51" s="80"/>
      <c r="AD51" s="80"/>
    </row>
    <row r="52" spans="6:30" x14ac:dyDescent="0.25">
      <c r="Y52" s="80"/>
      <c r="Z52" s="80"/>
      <c r="AA52" s="80"/>
      <c r="AB52" s="80"/>
      <c r="AC52" s="80"/>
      <c r="AD52" s="80"/>
    </row>
    <row r="53" spans="6:30" x14ac:dyDescent="0.25">
      <c r="Y53" s="80"/>
      <c r="Z53" s="80"/>
      <c r="AA53" s="80"/>
      <c r="AB53" s="80"/>
      <c r="AC53" s="80"/>
      <c r="AD53" s="80"/>
    </row>
    <row r="54" spans="6:30" x14ac:dyDescent="0.25">
      <c r="Y54" s="80"/>
      <c r="Z54" s="80"/>
      <c r="AA54" s="80"/>
      <c r="AB54" s="80"/>
      <c r="AC54" s="80"/>
      <c r="AD54" s="80"/>
    </row>
    <row r="55" spans="6:30" x14ac:dyDescent="0.25">
      <c r="Y55" s="80"/>
      <c r="Z55" s="80"/>
      <c r="AA55" s="80"/>
      <c r="AB55" s="80"/>
      <c r="AC55" s="80"/>
      <c r="AD55" s="80"/>
    </row>
    <row r="56" spans="6:30" x14ac:dyDescent="0.25">
      <c r="Y56" s="98"/>
      <c r="Z56" s="98"/>
      <c r="AA56" s="98"/>
      <c r="AB56" s="98"/>
      <c r="AC56" s="98"/>
      <c r="AD56" s="98"/>
    </row>
    <row r="57" spans="6:30" x14ac:dyDescent="0.25">
      <c r="Y57" s="80"/>
      <c r="Z57" s="80"/>
      <c r="AA57" s="80"/>
      <c r="AB57" s="80"/>
      <c r="AC57" s="80"/>
      <c r="AD57" s="80"/>
    </row>
    <row r="58" spans="6:30" x14ac:dyDescent="0.25">
      <c r="Y58" s="80"/>
      <c r="Z58" s="80"/>
      <c r="AA58" s="80"/>
      <c r="AB58" s="80"/>
      <c r="AC58" s="80"/>
      <c r="AD58" s="80"/>
    </row>
    <row r="59" spans="6:30" x14ac:dyDescent="0.25">
      <c r="Y59" s="80"/>
      <c r="Z59" s="80"/>
      <c r="AA59" s="80"/>
      <c r="AB59" s="80"/>
      <c r="AC59" s="80"/>
      <c r="AD59" s="80"/>
    </row>
    <row r="60" spans="6:30" x14ac:dyDescent="0.25">
      <c r="Y60" s="80"/>
      <c r="Z60" s="80"/>
      <c r="AA60" s="80"/>
      <c r="AB60" s="80"/>
      <c r="AC60" s="80"/>
      <c r="AD60" s="80"/>
    </row>
    <row r="61" spans="6:30" x14ac:dyDescent="0.25">
      <c r="Y61" s="80"/>
      <c r="Z61" s="80"/>
      <c r="AA61" s="80"/>
      <c r="AB61" s="80"/>
      <c r="AC61" s="80"/>
      <c r="AD61" s="80"/>
    </row>
    <row r="62" spans="6:30" x14ac:dyDescent="0.25">
      <c r="Y62" s="98"/>
      <c r="Z62" s="98"/>
      <c r="AA62" s="98"/>
      <c r="AB62" s="98"/>
      <c r="AC62" s="98"/>
      <c r="AD62" s="98"/>
    </row>
    <row r="63" spans="6:30" x14ac:dyDescent="0.25">
      <c r="Y63" s="80"/>
      <c r="Z63" s="80"/>
      <c r="AA63" s="80"/>
      <c r="AB63" s="80"/>
      <c r="AC63" s="80"/>
      <c r="AD63" s="80"/>
    </row>
    <row r="64" spans="6:30" x14ac:dyDescent="0.25">
      <c r="Y64" s="80"/>
      <c r="Z64" s="80"/>
      <c r="AA64" s="80"/>
      <c r="AB64" s="80"/>
      <c r="AC64" s="80"/>
      <c r="AD64" s="80"/>
    </row>
    <row r="65" spans="25:30" x14ac:dyDescent="0.25">
      <c r="Y65" s="80"/>
      <c r="Z65" s="80"/>
      <c r="AA65" s="80"/>
      <c r="AB65" s="80"/>
      <c r="AC65" s="80"/>
      <c r="AD65" s="80"/>
    </row>
    <row r="66" spans="25:30" x14ac:dyDescent="0.25">
      <c r="Y66" s="80"/>
      <c r="Z66" s="80"/>
      <c r="AA66" s="80"/>
      <c r="AB66" s="80"/>
      <c r="AC66" s="80"/>
      <c r="AD66" s="80"/>
    </row>
    <row r="67" spans="25:30" x14ac:dyDescent="0.25">
      <c r="Y67" s="80"/>
      <c r="Z67" s="80"/>
      <c r="AA67" s="80"/>
      <c r="AB67" s="80"/>
      <c r="AC67" s="80"/>
      <c r="AD67" s="80"/>
    </row>
    <row r="68" spans="25:30" x14ac:dyDescent="0.25">
      <c r="Y68" s="98"/>
      <c r="Z68" s="98"/>
      <c r="AA68" s="98"/>
      <c r="AB68" s="98"/>
      <c r="AC68" s="98"/>
      <c r="AD68" s="98"/>
    </row>
    <row r="69" spans="25:30" x14ac:dyDescent="0.25">
      <c r="Y69" s="80"/>
      <c r="Z69" s="80"/>
      <c r="AA69" s="80"/>
      <c r="AB69" s="80"/>
      <c r="AC69" s="80"/>
      <c r="AD69" s="80"/>
    </row>
    <row r="70" spans="25:30" x14ac:dyDescent="0.25">
      <c r="Y70" s="80"/>
      <c r="Z70" s="80"/>
      <c r="AA70" s="80"/>
      <c r="AB70" s="80"/>
      <c r="AC70" s="80"/>
      <c r="AD70" s="80"/>
    </row>
    <row r="71" spans="25:30" x14ac:dyDescent="0.25">
      <c r="Y71" s="80"/>
      <c r="Z71" s="80"/>
      <c r="AA71" s="80"/>
      <c r="AB71" s="80"/>
      <c r="AC71" s="80"/>
      <c r="AD71" s="80"/>
    </row>
    <row r="72" spans="25:30" x14ac:dyDescent="0.25">
      <c r="Y72" s="80"/>
      <c r="Z72" s="80"/>
      <c r="AA72" s="80"/>
      <c r="AB72" s="80"/>
      <c r="AC72" s="80"/>
      <c r="AD72" s="80"/>
    </row>
    <row r="73" spans="25:30" x14ac:dyDescent="0.25">
      <c r="Y73" s="80"/>
      <c r="Z73" s="80"/>
      <c r="AA73" s="80"/>
      <c r="AB73" s="80"/>
      <c r="AC73" s="80"/>
      <c r="AD73" s="80"/>
    </row>
    <row r="74" spans="25:30" x14ac:dyDescent="0.25">
      <c r="Y74" s="98"/>
      <c r="Z74" s="98"/>
      <c r="AA74" s="98"/>
      <c r="AB74" s="98"/>
      <c r="AC74" s="98"/>
      <c r="AD74" s="98"/>
    </row>
    <row r="75" spans="25:30" x14ac:dyDescent="0.25">
      <c r="Y75" s="80"/>
      <c r="Z75" s="80"/>
      <c r="AA75" s="80"/>
      <c r="AB75" s="80"/>
      <c r="AC75" s="80"/>
      <c r="AD75" s="80"/>
    </row>
    <row r="76" spans="25:30" x14ac:dyDescent="0.25">
      <c r="Y76" s="80"/>
      <c r="Z76" s="80"/>
      <c r="AA76" s="80"/>
      <c r="AB76" s="80"/>
      <c r="AC76" s="80"/>
      <c r="AD76" s="80"/>
    </row>
    <row r="77" spans="25:30" x14ac:dyDescent="0.25">
      <c r="Y77" s="80"/>
      <c r="Z77" s="80"/>
      <c r="AA77" s="80"/>
      <c r="AB77" s="80"/>
      <c r="AC77" s="80"/>
      <c r="AD77" s="80"/>
    </row>
    <row r="78" spans="25:30" x14ac:dyDescent="0.25">
      <c r="Y78" s="80"/>
      <c r="Z78" s="80"/>
      <c r="AA78" s="80"/>
      <c r="AB78" s="80"/>
      <c r="AC78" s="80"/>
      <c r="AD78" s="80"/>
    </row>
    <row r="79" spans="25:30" x14ac:dyDescent="0.25">
      <c r="Y79" s="80"/>
      <c r="Z79" s="80"/>
      <c r="AA79" s="80"/>
      <c r="AB79" s="80"/>
      <c r="AC79" s="80"/>
      <c r="AD79" s="80"/>
    </row>
    <row r="80" spans="25:30" x14ac:dyDescent="0.25">
      <c r="Y80" s="98"/>
      <c r="Z80" s="98"/>
      <c r="AA80" s="98"/>
      <c r="AB80" s="98"/>
      <c r="AC80" s="98"/>
      <c r="AD80" s="98"/>
    </row>
    <row r="81" spans="25:30" x14ac:dyDescent="0.25">
      <c r="Y81" s="80"/>
      <c r="Z81" s="80"/>
      <c r="AA81" s="80"/>
      <c r="AB81" s="80"/>
      <c r="AC81" s="80"/>
      <c r="AD81" s="80"/>
    </row>
    <row r="82" spans="25:30" x14ac:dyDescent="0.25">
      <c r="Y82" s="80"/>
      <c r="Z82" s="80"/>
      <c r="AA82" s="80"/>
      <c r="AB82" s="80"/>
      <c r="AC82" s="80"/>
      <c r="AD82" s="80"/>
    </row>
    <row r="83" spans="25:30" x14ac:dyDescent="0.25">
      <c r="Y83" s="80"/>
      <c r="Z83" s="80"/>
      <c r="AA83" s="80"/>
      <c r="AB83" s="80"/>
      <c r="AC83" s="80"/>
      <c r="AD83" s="80"/>
    </row>
    <row r="84" spans="25:30" x14ac:dyDescent="0.25">
      <c r="Y84" s="80"/>
      <c r="Z84" s="80"/>
      <c r="AA84" s="80"/>
      <c r="AB84" s="80"/>
      <c r="AC84" s="80"/>
      <c r="AD84" s="80"/>
    </row>
    <row r="85" spans="25:30" x14ac:dyDescent="0.25">
      <c r="Y85" s="80"/>
      <c r="Z85" s="80"/>
      <c r="AA85" s="80"/>
      <c r="AB85" s="80"/>
      <c r="AC85" s="80"/>
      <c r="AD85" s="80"/>
    </row>
    <row r="86" spans="25:30" x14ac:dyDescent="0.25">
      <c r="Y86" s="98"/>
      <c r="Z86" s="98"/>
      <c r="AA86" s="98"/>
      <c r="AB86" s="98"/>
      <c r="AC86" s="98"/>
      <c r="AD86" s="98"/>
    </row>
    <row r="87" spans="25:30" x14ac:dyDescent="0.25">
      <c r="Y87" s="80"/>
      <c r="Z87" s="80"/>
      <c r="AA87" s="80"/>
      <c r="AB87" s="80"/>
      <c r="AC87" s="80"/>
      <c r="AD87" s="80"/>
    </row>
    <row r="88" spans="25:30" x14ac:dyDescent="0.25">
      <c r="Y88" s="80"/>
      <c r="Z88" s="80"/>
      <c r="AA88" s="80"/>
      <c r="AB88" s="80"/>
      <c r="AC88" s="80"/>
      <c r="AD88" s="80"/>
    </row>
    <row r="89" spans="25:30" x14ac:dyDescent="0.25">
      <c r="Y89" s="80"/>
      <c r="Z89" s="80"/>
      <c r="AA89" s="80"/>
      <c r="AB89" s="80"/>
      <c r="AC89" s="80"/>
      <c r="AD89" s="80"/>
    </row>
    <row r="90" spans="25:30" x14ac:dyDescent="0.25">
      <c r="Y90" s="80"/>
      <c r="Z90" s="80"/>
      <c r="AA90" s="80"/>
      <c r="AB90" s="80"/>
      <c r="AC90" s="80"/>
      <c r="AD90" s="80"/>
    </row>
    <row r="91" spans="25:30" x14ac:dyDescent="0.25">
      <c r="Y91" s="80"/>
      <c r="Z91" s="80"/>
      <c r="AA91" s="80"/>
      <c r="AB91" s="80"/>
      <c r="AC91" s="80"/>
      <c r="AD91" s="80"/>
    </row>
    <row r="92" spans="25:30" x14ac:dyDescent="0.25">
      <c r="Y92" s="98"/>
      <c r="Z92" s="98"/>
      <c r="AA92" s="98"/>
      <c r="AB92" s="98"/>
      <c r="AC92" s="98"/>
      <c r="AD92" s="98"/>
    </row>
    <row r="93" spans="25:30" x14ac:dyDescent="0.25">
      <c r="Y93" s="80"/>
      <c r="Z93" s="80"/>
      <c r="AA93" s="80"/>
      <c r="AB93" s="80"/>
      <c r="AC93" s="80"/>
      <c r="AD93" s="80"/>
    </row>
    <row r="94" spans="25:30" x14ac:dyDescent="0.25">
      <c r="Y94" s="80"/>
      <c r="Z94" s="80"/>
      <c r="AA94" s="80"/>
      <c r="AB94" s="80"/>
      <c r="AC94" s="80"/>
      <c r="AD94" s="80"/>
    </row>
    <row r="95" spans="25:30" x14ac:dyDescent="0.25">
      <c r="Y95" s="80"/>
      <c r="Z95" s="80"/>
      <c r="AA95" s="80"/>
      <c r="AB95" s="80"/>
      <c r="AC95" s="80"/>
      <c r="AD95" s="80"/>
    </row>
    <row r="96" spans="25:30" x14ac:dyDescent="0.25">
      <c r="Y96" s="80"/>
      <c r="Z96" s="80"/>
      <c r="AA96" s="80"/>
      <c r="AB96" s="80"/>
      <c r="AC96" s="80"/>
      <c r="AD96" s="80"/>
    </row>
    <row r="97" spans="25:30" x14ac:dyDescent="0.25">
      <c r="Y97" s="80"/>
      <c r="Z97" s="80"/>
      <c r="AA97" s="80"/>
      <c r="AB97" s="80"/>
      <c r="AC97" s="80"/>
      <c r="AD97" s="80"/>
    </row>
    <row r="98" spans="25:30" x14ac:dyDescent="0.25">
      <c r="Y98" s="98"/>
      <c r="Z98" s="98"/>
      <c r="AA98" s="98"/>
      <c r="AB98" s="98"/>
      <c r="AC98" s="98"/>
      <c r="AD98" s="98"/>
    </row>
    <row r="99" spans="25:30" x14ac:dyDescent="0.25">
      <c r="Y99" s="80"/>
      <c r="Z99" s="80"/>
      <c r="AA99" s="80"/>
      <c r="AB99" s="80"/>
      <c r="AC99" s="80"/>
      <c r="AD99" s="80"/>
    </row>
    <row r="100" spans="25:30" x14ac:dyDescent="0.25">
      <c r="Y100" s="80"/>
      <c r="Z100" s="80"/>
      <c r="AA100" s="80"/>
      <c r="AB100" s="80"/>
      <c r="AC100" s="80"/>
      <c r="AD100" s="80"/>
    </row>
    <row r="101" spans="25:30" x14ac:dyDescent="0.25">
      <c r="Y101" s="80"/>
      <c r="Z101" s="80"/>
      <c r="AA101" s="80"/>
      <c r="AB101" s="80"/>
      <c r="AC101" s="80"/>
      <c r="AD101" s="80"/>
    </row>
    <row r="102" spans="25:30" x14ac:dyDescent="0.25">
      <c r="Y102" s="80"/>
      <c r="Z102" s="80"/>
      <c r="AA102" s="80"/>
      <c r="AB102" s="80"/>
      <c r="AC102" s="80"/>
      <c r="AD102" s="80"/>
    </row>
    <row r="103" spans="25:30" x14ac:dyDescent="0.25">
      <c r="Y103" s="80"/>
      <c r="Z103" s="80"/>
      <c r="AA103" s="80"/>
      <c r="AB103" s="80"/>
      <c r="AC103" s="80"/>
      <c r="AD103" s="80"/>
    </row>
    <row r="104" spans="25:30" x14ac:dyDescent="0.25">
      <c r="Y104" s="98"/>
      <c r="Z104" s="98"/>
      <c r="AA104" s="98"/>
      <c r="AB104" s="98"/>
      <c r="AC104" s="98"/>
      <c r="AD104" s="98"/>
    </row>
    <row r="105" spans="25:30" x14ac:dyDescent="0.25">
      <c r="Y105" s="80"/>
      <c r="Z105" s="80"/>
      <c r="AA105" s="80"/>
      <c r="AB105" s="80"/>
      <c r="AC105" s="80"/>
      <c r="AD105" s="80"/>
    </row>
    <row r="106" spans="25:30" x14ac:dyDescent="0.25">
      <c r="Y106" s="80"/>
      <c r="Z106" s="80"/>
      <c r="AA106" s="80"/>
      <c r="AB106" s="80"/>
      <c r="AC106" s="80"/>
      <c r="AD106" s="80"/>
    </row>
    <row r="107" spans="25:30" x14ac:dyDescent="0.25">
      <c r="Y107" s="80"/>
      <c r="Z107" s="80"/>
      <c r="AA107" s="80"/>
      <c r="AB107" s="80"/>
      <c r="AC107" s="80"/>
      <c r="AD107" s="80"/>
    </row>
    <row r="108" spans="25:30" x14ac:dyDescent="0.25">
      <c r="Y108" s="80"/>
      <c r="Z108" s="80"/>
      <c r="AA108" s="80"/>
      <c r="AB108" s="80"/>
      <c r="AC108" s="80"/>
      <c r="AD108" s="80"/>
    </row>
    <row r="109" spans="25:30" x14ac:dyDescent="0.25">
      <c r="Y109" s="80"/>
      <c r="Z109" s="80"/>
      <c r="AA109" s="80"/>
      <c r="AB109" s="80"/>
      <c r="AC109" s="80"/>
      <c r="AD109" s="80"/>
    </row>
    <row r="110" spans="25:30" x14ac:dyDescent="0.25">
      <c r="Y110" s="98"/>
      <c r="Z110" s="98"/>
      <c r="AA110" s="98"/>
      <c r="AB110" s="98"/>
      <c r="AC110" s="98"/>
      <c r="AD110" s="98"/>
    </row>
    <row r="111" spans="25:30" x14ac:dyDescent="0.25">
      <c r="Y111" s="80"/>
      <c r="Z111" s="80"/>
      <c r="AA111" s="80"/>
      <c r="AB111" s="80"/>
      <c r="AC111" s="80"/>
      <c r="AD111" s="80"/>
    </row>
    <row r="112" spans="25:30" x14ac:dyDescent="0.25">
      <c r="Y112" s="80"/>
      <c r="Z112" s="80"/>
      <c r="AA112" s="80"/>
      <c r="AB112" s="80"/>
      <c r="AC112" s="80"/>
      <c r="AD112" s="80"/>
    </row>
    <row r="113" spans="25:46" x14ac:dyDescent="0.25">
      <c r="Y113" s="80"/>
      <c r="Z113" s="80"/>
      <c r="AA113" s="80"/>
      <c r="AB113" s="80"/>
      <c r="AC113" s="80"/>
      <c r="AD113" s="80"/>
    </row>
    <row r="114" spans="25:46" x14ac:dyDescent="0.25">
      <c r="Y114" s="80"/>
      <c r="Z114" s="80"/>
      <c r="AA114" s="80"/>
      <c r="AB114" s="80"/>
      <c r="AC114" s="80"/>
      <c r="AD114" s="80"/>
    </row>
    <row r="115" spans="25:46" x14ac:dyDescent="0.25">
      <c r="Y115" s="80"/>
      <c r="Z115" s="80"/>
      <c r="AA115" s="80"/>
      <c r="AB115" s="80"/>
      <c r="AC115" s="80"/>
      <c r="AD115" s="80"/>
    </row>
    <row r="116" spans="25:46" x14ac:dyDescent="0.25">
      <c r="Y116" s="98"/>
      <c r="Z116" s="98"/>
      <c r="AA116" s="98"/>
      <c r="AB116" s="98"/>
      <c r="AC116" s="98"/>
      <c r="AD116" s="98"/>
    </row>
    <row r="117" spans="25:46" x14ac:dyDescent="0.25">
      <c r="Y117" s="80"/>
      <c r="Z117" s="80"/>
      <c r="AA117" s="80"/>
      <c r="AB117" s="80"/>
      <c r="AC117" s="80"/>
      <c r="AD117" s="80"/>
    </row>
    <row r="118" spans="25:46" x14ac:dyDescent="0.25">
      <c r="Y118" s="80"/>
      <c r="Z118" s="80"/>
      <c r="AA118" s="80"/>
      <c r="AB118" s="80"/>
      <c r="AC118" s="80"/>
      <c r="AD118" s="80"/>
    </row>
    <row r="119" spans="25:46" x14ac:dyDescent="0.25">
      <c r="Y119" s="80"/>
      <c r="Z119" s="80"/>
      <c r="AA119" s="80"/>
      <c r="AB119" s="80"/>
      <c r="AC119" s="80"/>
      <c r="AD119" s="80"/>
    </row>
    <row r="120" spans="25:46" x14ac:dyDescent="0.25">
      <c r="Y120" s="80"/>
      <c r="Z120" s="80"/>
      <c r="AA120" s="80"/>
      <c r="AB120" s="80"/>
      <c r="AC120" s="80"/>
      <c r="AD120" s="80"/>
    </row>
    <row r="121" spans="25:46" x14ac:dyDescent="0.25">
      <c r="Y121" s="80"/>
      <c r="Z121" s="80"/>
      <c r="AA121" s="80"/>
      <c r="AB121" s="80"/>
      <c r="AC121" s="80"/>
      <c r="AD121" s="80"/>
    </row>
    <row r="122" spans="25:46" x14ac:dyDescent="0.25">
      <c r="Y122" s="98"/>
      <c r="Z122" s="98"/>
      <c r="AA122" s="98"/>
      <c r="AB122" s="98"/>
      <c r="AC122" s="98"/>
      <c r="AD122" s="98"/>
    </row>
    <row r="123" spans="25:46" x14ac:dyDescent="0.25">
      <c r="Y123" s="80"/>
      <c r="Z123" s="80"/>
      <c r="AA123" s="80"/>
      <c r="AB123" s="80"/>
      <c r="AC123" s="80"/>
      <c r="AD123" s="80"/>
    </row>
    <row r="124" spans="25:46" x14ac:dyDescent="0.25">
      <c r="Y124" s="80"/>
      <c r="Z124" s="80"/>
      <c r="AA124" s="80"/>
      <c r="AB124" s="80"/>
      <c r="AC124" s="80"/>
      <c r="AD124" s="80"/>
    </row>
    <row r="125" spans="25:46" x14ac:dyDescent="0.25">
      <c r="Y125" s="80"/>
      <c r="Z125" s="80"/>
      <c r="AA125" s="80"/>
      <c r="AB125" s="80"/>
      <c r="AC125" s="80"/>
      <c r="AD125" s="80"/>
    </row>
    <row r="126" spans="25:46" x14ac:dyDescent="0.25">
      <c r="Y126" s="80"/>
      <c r="Z126" s="80"/>
      <c r="AA126" s="80"/>
      <c r="AB126" s="80"/>
      <c r="AC126" s="80"/>
      <c r="AD126" s="80"/>
    </row>
    <row r="127" spans="25:46" x14ac:dyDescent="0.25">
      <c r="Y127" s="80"/>
      <c r="Z127" s="80"/>
      <c r="AA127" s="80"/>
      <c r="AB127" s="80"/>
      <c r="AC127" s="80"/>
      <c r="AD127" s="80"/>
    </row>
    <row r="128" spans="25:46" ht="15.75" thickBot="1" x14ac:dyDescent="0.3">
      <c r="Y128" s="98"/>
      <c r="Z128" s="98"/>
      <c r="AA128" s="98"/>
      <c r="AB128" s="98"/>
      <c r="AC128" s="98"/>
      <c r="AD128" s="98"/>
      <c r="AE128" s="97"/>
      <c r="AF128" s="97"/>
      <c r="AG128" s="97"/>
      <c r="AH128" s="97"/>
      <c r="AI128" s="97"/>
      <c r="AJ128" s="97"/>
      <c r="AK128" s="97"/>
      <c r="AL128" s="97"/>
      <c r="AM128" s="97"/>
      <c r="AN128" s="97"/>
      <c r="AO128" s="97"/>
      <c r="AP128" s="97"/>
      <c r="AQ128" s="97"/>
      <c r="AR128" s="97"/>
      <c r="AS128" s="97"/>
      <c r="AT128" s="97"/>
    </row>
    <row r="129" spans="25:46" x14ac:dyDescent="0.25">
      <c r="Y129" s="80"/>
      <c r="Z129" s="80"/>
      <c r="AA129" s="80"/>
      <c r="AB129" s="80"/>
      <c r="AC129" s="80"/>
      <c r="AD129" s="80"/>
      <c r="AE129" s="80"/>
      <c r="AF129" s="80"/>
      <c r="AG129" s="80"/>
      <c r="AH129" s="80"/>
      <c r="AI129" s="80"/>
      <c r="AJ129" s="80"/>
      <c r="AK129" s="80"/>
      <c r="AL129" s="80"/>
      <c r="AM129" s="80"/>
      <c r="AN129" s="80"/>
      <c r="AO129" s="80"/>
      <c r="AP129" s="80"/>
      <c r="AQ129" s="80"/>
      <c r="AR129" s="80"/>
      <c r="AS129" s="80"/>
      <c r="AT129" s="80"/>
    </row>
    <row r="130" spans="25:46" x14ac:dyDescent="0.25">
      <c r="Y130" s="80"/>
      <c r="Z130" s="80"/>
      <c r="AA130" s="80"/>
      <c r="AB130" s="80"/>
      <c r="AC130" s="80"/>
      <c r="AD130" s="80"/>
      <c r="AE130" s="80"/>
      <c r="AF130" s="80"/>
      <c r="AG130" s="80"/>
      <c r="AH130" s="80"/>
      <c r="AI130" s="80"/>
      <c r="AJ130" s="80"/>
      <c r="AK130" s="80"/>
      <c r="AL130" s="80"/>
      <c r="AM130" s="80"/>
      <c r="AN130" s="80"/>
      <c r="AO130" s="80"/>
      <c r="AP130" s="80"/>
      <c r="AQ130" s="80"/>
      <c r="AR130" s="80"/>
      <c r="AS130" s="80"/>
      <c r="AT130" s="80"/>
    </row>
    <row r="131" spans="25:46" x14ac:dyDescent="0.25">
      <c r="Y131" s="80"/>
      <c r="Z131" s="80"/>
      <c r="AA131" s="80"/>
      <c r="AB131" s="80"/>
      <c r="AC131" s="80"/>
      <c r="AD131" s="80"/>
      <c r="AE131" s="80"/>
      <c r="AF131" s="80"/>
      <c r="AG131" s="80"/>
      <c r="AH131" s="80"/>
      <c r="AI131" s="80"/>
      <c r="AJ131" s="80"/>
      <c r="AK131" s="80"/>
      <c r="AL131" s="80"/>
      <c r="AM131" s="80"/>
      <c r="AN131" s="80"/>
      <c r="AO131" s="80"/>
      <c r="AP131" s="80"/>
      <c r="AQ131" s="80"/>
      <c r="AR131" s="80"/>
      <c r="AS131" s="80"/>
      <c r="AT131" s="80"/>
    </row>
    <row r="132" spans="25:46" x14ac:dyDescent="0.25">
      <c r="Y132" s="80"/>
      <c r="Z132" s="80"/>
      <c r="AA132" s="80"/>
      <c r="AB132" s="80"/>
      <c r="AC132" s="80"/>
      <c r="AD132" s="80"/>
      <c r="AE132" s="80"/>
      <c r="AF132" s="80"/>
      <c r="AG132" s="80"/>
      <c r="AH132" s="80"/>
      <c r="AI132" s="80"/>
      <c r="AJ132" s="80"/>
      <c r="AK132" s="80"/>
      <c r="AL132" s="80"/>
      <c r="AM132" s="80"/>
      <c r="AN132" s="80"/>
      <c r="AO132" s="80"/>
      <c r="AP132" s="80"/>
      <c r="AQ132" s="80"/>
      <c r="AR132" s="80"/>
      <c r="AS132" s="80"/>
      <c r="AT132" s="80"/>
    </row>
    <row r="133" spans="25:46" x14ac:dyDescent="0.25">
      <c r="Y133" s="80"/>
      <c r="Z133" s="80"/>
      <c r="AA133" s="80"/>
      <c r="AB133" s="80"/>
      <c r="AC133" s="80"/>
      <c r="AD133" s="80"/>
      <c r="AE133" s="80"/>
      <c r="AF133" s="80"/>
      <c r="AG133" s="80"/>
      <c r="AH133" s="80"/>
      <c r="AI133" s="80"/>
      <c r="AJ133" s="80"/>
      <c r="AK133" s="80"/>
      <c r="AL133" s="80"/>
      <c r="AM133" s="80"/>
      <c r="AN133" s="80"/>
      <c r="AO133" s="80"/>
      <c r="AP133" s="80"/>
      <c r="AQ133" s="80"/>
      <c r="AR133" s="80"/>
      <c r="AS133" s="80"/>
      <c r="AT133" s="80"/>
    </row>
    <row r="135" spans="25:46" ht="15.75" thickBot="1" x14ac:dyDescent="0.3"/>
    <row r="136" spans="25:46" x14ac:dyDescent="0.25">
      <c r="Y136" s="95"/>
      <c r="Z136" s="95"/>
      <c r="AA136" s="95"/>
      <c r="AB136" s="95"/>
      <c r="AC136" s="95"/>
      <c r="AD136" s="95"/>
      <c r="AE136" s="83" t="s">
        <v>157</v>
      </c>
    </row>
    <row r="137" spans="25:46" x14ac:dyDescent="0.25">
      <c r="Y137" s="80"/>
      <c r="Z137" s="80"/>
      <c r="AA137" s="80"/>
      <c r="AB137" s="80"/>
      <c r="AC137" s="80"/>
      <c r="AD137" s="80"/>
      <c r="AE137" s="80" t="e">
        <v>#NUM!</v>
      </c>
    </row>
    <row r="138" spans="25:46" x14ac:dyDescent="0.25">
      <c r="Y138" s="80"/>
      <c r="Z138" s="80"/>
      <c r="AA138" s="80"/>
      <c r="AB138" s="80"/>
      <c r="AC138" s="80"/>
      <c r="AD138" s="80"/>
      <c r="AE138" s="80" t="e">
        <v>#NUM!</v>
      </c>
    </row>
    <row r="139" spans="25:46" x14ac:dyDescent="0.25">
      <c r="Y139" s="80"/>
      <c r="Z139" s="80"/>
      <c r="AA139" s="80"/>
      <c r="AB139" s="80"/>
      <c r="AC139" s="80"/>
      <c r="AD139" s="80"/>
      <c r="AE139" s="80" t="e">
        <v>#NUM!</v>
      </c>
    </row>
    <row r="140" spans="25:46" x14ac:dyDescent="0.25">
      <c r="Y140" s="80"/>
      <c r="Z140" s="80"/>
      <c r="AA140" s="80"/>
      <c r="AB140" s="80"/>
      <c r="AC140" s="80"/>
      <c r="AD140" s="80"/>
      <c r="AE140" s="80"/>
    </row>
    <row r="141" spans="25:46" x14ac:dyDescent="0.25">
      <c r="Y141" s="80"/>
      <c r="Z141" s="80"/>
      <c r="AA141" s="80"/>
      <c r="AB141" s="80"/>
      <c r="AC141" s="80"/>
      <c r="AD141" s="80"/>
      <c r="AE141" s="80"/>
    </row>
    <row r="142" spans="25:46" ht="15.75" thickBot="1" x14ac:dyDescent="0.3">
      <c r="Y142" s="80"/>
      <c r="Z142" s="80"/>
      <c r="AA142" s="80"/>
      <c r="AB142" s="80"/>
      <c r="AC142" s="80"/>
      <c r="AD142" s="80"/>
      <c r="AE142" s="81"/>
    </row>
  </sheetData>
  <autoFilter ref="F2:F21" xr:uid="{7E706179-D5AE-4DED-B448-63BCE48C5242}"/>
  <sortState xmlns:xlrd2="http://schemas.microsoft.com/office/spreadsheetml/2017/richdata2" ref="A3:H21">
    <sortCondition sortBy="fontColor" ref="H3:H21" dxfId="5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0510A4F841DF4BBD1E8CD5008FA850" ma:contentTypeVersion="10" ma:contentTypeDescription="Create a new document." ma:contentTypeScope="" ma:versionID="9970f28310d6de54c750bbd8b591404e">
  <xsd:schema xmlns:xsd="http://www.w3.org/2001/XMLSchema" xmlns:xs="http://www.w3.org/2001/XMLSchema" xmlns:p="http://schemas.microsoft.com/office/2006/metadata/properties" xmlns:ns3="535ced8c-b6e6-4e88-ae69-a9a099d2c8a2" targetNamespace="http://schemas.microsoft.com/office/2006/metadata/properties" ma:root="true" ma:fieldsID="1e2afa8b9ab7e12acd16c19cc8fe03ba" ns3:_="">
    <xsd:import namespace="535ced8c-b6e6-4e88-ae69-a9a099d2c8a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5ced8c-b6e6-4e88-ae69-a9a099d2c8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35ced8c-b6e6-4e88-ae69-a9a099d2c8a2" xsi:nil="true"/>
  </documentManagement>
</p:properties>
</file>

<file path=customXml/itemProps1.xml><?xml version="1.0" encoding="utf-8"?>
<ds:datastoreItem xmlns:ds="http://schemas.openxmlformats.org/officeDocument/2006/customXml" ds:itemID="{969F5702-D97C-4A1E-9F8A-B5D931ACD8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35ced8c-b6e6-4e88-ae69-a9a099d2c8a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F16402A-C561-4E7E-AE7D-6891BF43B46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66DBA4D-0296-44BB-B9ED-1B614DC7BB04}">
  <ds:schemaRefs>
    <ds:schemaRef ds:uri="http://purl.org/dc/dcmitype/"/>
    <ds:schemaRef ds:uri="535ced8c-b6e6-4e88-ae69-a9a099d2c8a2"/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purl.org/dc/elements/1.1/"/>
    <ds:schemaRef ds:uri="http://purl.org/dc/terms/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FORMATING</vt:lpstr>
      <vt:lpstr>Sheet3</vt:lpstr>
      <vt:lpstr>M2_4 STATISTICAL ANAYSIS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23691A4021@mits.com</dc:creator>
  <cp:lastModifiedBy>23691A4021@mits.com</cp:lastModifiedBy>
  <dcterms:created xsi:type="dcterms:W3CDTF">2026-06-04T04:50:02Z</dcterms:created>
  <dcterms:modified xsi:type="dcterms:W3CDTF">2026-06-06T05:55:35Z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0x010100D70510A4F841DF4BBD1E8CD5008FA850</vt:lpwstr>
  </property>
</Properties>
</file>